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a_hema_cgiar_org/Documents/Desktop/Cours/2026/ENSAE/Projet Statistique sur R et Python 2025 2026/Examen ENSAE ISE 1_2026/"/>
    </mc:Choice>
  </mc:AlternateContent>
  <xr:revisionPtr revIDLastSave="322" documentId="8_{D0BCE4EE-22D6-4A89-80BB-25A5A9EC9F6A}" xr6:coauthVersionLast="47" xr6:coauthVersionMax="47" xr10:uidLastSave="{94B4394C-B3FF-4FD6-91C1-7893E486C843}"/>
  <bookViews>
    <workbookView xWindow="-110" yWindow="-110" windowWidth="19420" windowHeight="11500" activeTab="2" xr2:uid="{BFF8B182-D9F1-4500-AECE-3AD4C00CC0D3}"/>
  </bookViews>
  <sheets>
    <sheet name="Barème et méthode" sheetId="2" r:id="rId1"/>
    <sheet name="Diagnostic technique" sheetId="1" r:id="rId2"/>
    <sheet name="Correction final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0" i="5" l="1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9" i="5"/>
  <c r="P6" i="5"/>
  <c r="P7" i="5"/>
  <c r="P8" i="5"/>
  <c r="P5" i="5"/>
  <c r="P3" i="5"/>
  <c r="P4" i="5"/>
  <c r="P2" i="5"/>
  <c r="J37" i="5"/>
  <c r="L37" i="5" s="1"/>
  <c r="M37" i="5" s="1"/>
  <c r="J36" i="5"/>
  <c r="L36" i="5" s="1"/>
  <c r="M36" i="5" s="1"/>
  <c r="J35" i="5"/>
  <c r="L35" i="5" s="1"/>
  <c r="M35" i="5" s="1"/>
  <c r="J34" i="5"/>
  <c r="L34" i="5" s="1"/>
  <c r="M34" i="5" s="1"/>
  <c r="J33" i="5"/>
  <c r="L33" i="5" s="1"/>
  <c r="M33" i="5" s="1"/>
  <c r="J32" i="5"/>
  <c r="L32" i="5" s="1"/>
  <c r="M32" i="5" s="1"/>
  <c r="J31" i="5"/>
  <c r="L31" i="5" s="1"/>
  <c r="M31" i="5" s="1"/>
  <c r="J30" i="5"/>
  <c r="L30" i="5" s="1"/>
  <c r="M30" i="5" s="1"/>
  <c r="J29" i="5"/>
  <c r="L29" i="5" s="1"/>
  <c r="M29" i="5" s="1"/>
  <c r="J28" i="5"/>
  <c r="L28" i="5" s="1"/>
  <c r="M28" i="5" s="1"/>
  <c r="J27" i="5"/>
  <c r="L27" i="5" s="1"/>
  <c r="M27" i="5" s="1"/>
  <c r="J26" i="5"/>
  <c r="L26" i="5" s="1"/>
  <c r="M26" i="5" s="1"/>
  <c r="J25" i="5"/>
  <c r="L25" i="5" s="1"/>
  <c r="M25" i="5" s="1"/>
  <c r="J24" i="5"/>
  <c r="L24" i="5" s="1"/>
  <c r="M24" i="5" s="1"/>
  <c r="J23" i="5"/>
  <c r="L23" i="5" s="1"/>
  <c r="M23" i="5" s="1"/>
  <c r="J22" i="5"/>
  <c r="L22" i="5" s="1"/>
  <c r="M22" i="5" s="1"/>
  <c r="J21" i="5"/>
  <c r="L21" i="5" s="1"/>
  <c r="M21" i="5" s="1"/>
  <c r="J20" i="5"/>
  <c r="L20" i="5" s="1"/>
  <c r="M20" i="5" s="1"/>
  <c r="J19" i="5"/>
  <c r="L19" i="5" s="1"/>
  <c r="M19" i="5" s="1"/>
  <c r="J18" i="5"/>
  <c r="L18" i="5" s="1"/>
  <c r="M18" i="5" s="1"/>
  <c r="J17" i="5"/>
  <c r="L17" i="5" s="1"/>
  <c r="M17" i="5" s="1"/>
  <c r="J16" i="5"/>
  <c r="L16" i="5" s="1"/>
  <c r="M16" i="5" s="1"/>
  <c r="J15" i="5"/>
  <c r="L15" i="5" s="1"/>
  <c r="M15" i="5" s="1"/>
  <c r="J14" i="5"/>
  <c r="L14" i="5" s="1"/>
  <c r="M14" i="5" s="1"/>
  <c r="J13" i="5"/>
  <c r="L13" i="5" s="1"/>
  <c r="M13" i="5" s="1"/>
  <c r="J12" i="5"/>
  <c r="L12" i="5" s="1"/>
  <c r="M12" i="5" s="1"/>
  <c r="J11" i="5"/>
  <c r="L11" i="5" s="1"/>
  <c r="M11" i="5" s="1"/>
  <c r="J10" i="5"/>
  <c r="L10" i="5" s="1"/>
  <c r="M10" i="5" s="1"/>
  <c r="J9" i="5"/>
  <c r="L9" i="5" s="1"/>
  <c r="M9" i="5" s="1"/>
  <c r="J8" i="5"/>
  <c r="L8" i="5" s="1"/>
  <c r="M8" i="5" s="1"/>
  <c r="J7" i="5"/>
  <c r="L7" i="5" s="1"/>
  <c r="M7" i="5" s="1"/>
  <c r="J6" i="5"/>
  <c r="L6" i="5" s="1"/>
  <c r="M6" i="5" s="1"/>
  <c r="J5" i="5"/>
  <c r="L5" i="5" s="1"/>
  <c r="M5" i="5" s="1"/>
  <c r="J4" i="5"/>
  <c r="L4" i="5" s="1"/>
  <c r="M4" i="5" s="1"/>
  <c r="J3" i="5"/>
  <c r="L3" i="5" s="1"/>
  <c r="M3" i="5" s="1"/>
  <c r="J2" i="5"/>
  <c r="L2" i="5" s="1"/>
  <c r="M2" i="5" s="1"/>
</calcChain>
</file>

<file path=xl/sharedStrings.xml><?xml version="1.0" encoding="utf-8"?>
<sst xmlns="http://schemas.openxmlformats.org/spreadsheetml/2006/main" count="447" uniqueCount="217">
  <si>
    <t>Étudiant</t>
  </si>
  <si>
    <t>Statut d’exécution</t>
  </si>
  <si>
    <t>Échec hors
code</t>
  </si>
  <si>
    <t>Scripts
exécutés</t>
  </si>
  <si>
    <t>Scripts
soumis</t>
  </si>
  <si>
    <t>Taux
d’exécution</t>
  </si>
  <si>
    <t>Durée
(s)</t>
  </si>
  <si>
    <t>Script en échec</t>
  </si>
  <si>
    <t>Fichiers</t>
  </si>
  <si>
    <t>Scripts R</t>
  </si>
  <si>
    <t>dont
numérotés</t>
  </si>
  <si>
    <t>R Markdown</t>
  </si>
  <si>
    <t>Inline
code</t>
  </si>
  <si>
    <t>PNG</t>
  </si>
  <si>
    <t>HTML</t>
  </si>
  <si>
    <t>Word</t>
  </si>
  <si>
    <t>PDF</t>
  </si>
  <si>
    <t>Gini
publié</t>
  </si>
  <si>
    <t>Gini
verdict</t>
  </si>
  <si>
    <t>HDDS
publié</t>
  </si>
  <si>
    <t>HDDS
verdict</t>
  </si>
  <si>
    <t>Revenu/tête
publié</t>
  </si>
  <si>
    <t>Revenu/tête
verdict</t>
  </si>
  <si>
    <t>Malus retenus</t>
  </si>
  <si>
    <t>Bonus retenus</t>
  </si>
  <si>
    <t>KEITA Lancina</t>
  </si>
  <si>
    <t>s’arrête à 10/19</t>
  </si>
  <si>
    <t>oui</t>
  </si>
  <si>
    <t>R\10_tableau1.R</t>
  </si>
  <si>
    <t>! create process 'C:\Program Files\Google\Chrome\Application\chrome.exe' (system error 267, The directory name</t>
  </si>
  <si>
    <t>interrompu par l’absence de Google Chrome, requis par gt::gtsave() pour exporter un tableau en image</t>
  </si>
  <si>
    <t>conforme</t>
  </si>
  <si>
    <t>Chemin absolu ou setwd() dans le code (-1)</t>
  </si>
  <si>
    <t>3 pièges non signalés traités (+1) ; Quintiles pondérés (+1) ; 3 indicateur(s) publié(s) sur 3 conformes aux données (+1)</t>
  </si>
  <si>
    <t>NGUEAJIO David</t>
  </si>
  <si>
    <t>s’arrête à 4/9</t>
  </si>
  <si>
    <t>R\04_na_imputations.R</t>
  </si>
  <si>
    <t>Error in gzfile(file, "rb") : cannot open the connection / Execution halted</t>
  </si>
  <si>
    <t>Quintiles non pondérés présentés comme représentatifs (-1) ; Chemin absolu ou setwd() dans le code (-1) ; Chaîne de fichiers rompue : 1 lecture(s) sans producteur ni fichier livré (-1)</t>
  </si>
  <si>
    <t>3 pièges non signalés traités (+1) ; 3 indicateur(s) publié(s) sur 3 conformes aux données (+1)</t>
  </si>
  <si>
    <t>AGNANGMA SANAM David Landry</t>
  </si>
  <si>
    <t>échoue dès le premier script</t>
  </si>
  <si>
    <t>main.R</t>
  </si>
  <si>
    <t>Error: Unable to save the interactive map. Note that saving interactive small multiples is not supported yet.</t>
  </si>
  <si>
    <t>NGOYI Parfait Jemmy Prodige</t>
  </si>
  <si>
    <t>R\01_import.R</t>
  </si>
  <si>
    <t>error downloading 'https://cloud.r-project.org/bin/windows/contrib/4.5/PACKAGES.gz' ['CreateProcess' failed to</t>
  </si>
  <si>
    <t>interrompu par un echec de telechargement CRAN, sans rapport avec la logique du code</t>
  </si>
  <si>
    <t>non concluant</t>
  </si>
  <si>
    <t>Quintiles pondérés (+1) ; 2 indicateur(s) publié(s) sur 3 conformes aux données (+1)</t>
  </si>
  <si>
    <t>THIOUB Cheikh</t>
  </si>
  <si>
    <t>s’arrête à 1/2</t>
  </si>
  <si>
    <t>R\partie_1.R</t>
  </si>
  <si>
    <t>non publié</t>
  </si>
  <si>
    <t>Quintiles non pondérés présentés comme représentatifs (-1)</t>
  </si>
  <si>
    <t>2 pièges non signalés traités (+1)</t>
  </si>
  <si>
    <t>FALL Cheikh Ahmadou Bamba</t>
  </si>
  <si>
    <t>3 pièges non signalés traités (+1) ; Quintiles pondérés (+1) ; 2 indicateur(s) publié(s) sur 3 conformes aux données (+1)</t>
  </si>
  <si>
    <t>KANE Boubacar</t>
  </si>
  <si>
    <t>s’exécute intégralement</t>
  </si>
  <si>
    <t>3 pièges non signalés traités (+1) ; Quintiles pondérés (+1)</t>
  </si>
  <si>
    <t>DIALLO Mamadou</t>
  </si>
  <si>
    <t>s’arrête à 6/12</t>
  </si>
  <si>
    <t>R\07_tableau1_gini.R</t>
  </si>
  <si>
    <t>21. │ ├─tidyselect:::with_chained_errors(...) / Execution halted</t>
  </si>
  <si>
    <t>3 pièges non signalés traités (+1)</t>
  </si>
  <si>
    <t>NGAKE YAMAHA Herman Parfait</t>
  </si>
  <si>
    <t>14. └─rlang::abort(bullets, call = error_call) / Execution halted</t>
  </si>
  <si>
    <t>Quintiles non pondérés présentés comme représentatifs (-1) ; Chaîne de fichiers rompue : 5 lecture(s) sans producteur ni fichier livré (-1)</t>
  </si>
  <si>
    <t>2 pièges non signalés traités (+1) ; 3 indicateur(s) publié(s) sur 3 conformes aux données (+1)</t>
  </si>
  <si>
    <t>NDIAYE Cheikh Mouhamadou Moustapha</t>
  </si>
  <si>
    <t>Quintiles non pondérés présentés comme représentatifs (-1) ; Chemin absolu ou setwd() dans le code (-1) ; Le rapport publie « revenu par tête moyen : 104 969 FCFA en milieu urbain, 69 872 en rural » - ce sont des revenus de MÉNAGE. La référence par tête est de 17 336 FCFA : la division par la taille du ménage n’a pas été faite (-1)</t>
  </si>
  <si>
    <t>DIOP Papa Boubacar</t>
  </si>
  <si>
    <t>R\02_analyse.R</t>
  </si>
  <si>
    <t>Error in read_dta("data/processed/data_processed.dta") : / Execution halted</t>
  </si>
  <si>
    <t>2 indicateur(s) publié(s) sur 3 conformes aux données (+1)</t>
  </si>
  <si>
    <t>GUEBEDIANG A NKEN Kadidja</t>
  </si>
  <si>
    <t>Error: Environnement non initialisé. / Execution halted</t>
  </si>
  <si>
    <t>BA Abdoul Aziz</t>
  </si>
  <si>
    <t>Error in st_read(here("data/raw/tcd_admin1.shp"), quiet = TRUE) : / Execution halted</t>
  </si>
  <si>
    <t>DIOP Astou</t>
  </si>
  <si>
    <t>scripts\SECTION1.R</t>
  </si>
  <si>
    <t>13. └─rlang::abort(message, class = error_class, parent = parent, call = error_call) / Execution halted</t>
  </si>
  <si>
    <t>2 pièges non signalés traités (+1) ; Quintiles pondérés (+1)</t>
  </si>
  <si>
    <t>TEVOEDJRE Michel</t>
  </si>
  <si>
    <t>Error in path_tidy(.Call(fs_path_, as.list(enc2utf8(as.character(parts))), : / Execution halted</t>
  </si>
  <si>
    <t>KEBJAM Jackson</t>
  </si>
  <si>
    <t>Quintiles non pondérés présentés comme représentatifs (-1) ; Chemin absolu ou setwd() dans le code (-1)</t>
  </si>
  <si>
    <t>OUATTARA Ousmane</t>
  </si>
  <si>
    <t>Quintiles pondérés (+1)</t>
  </si>
  <si>
    <t>SOCE Math</t>
  </si>
  <si>
    <t>R\section1.R</t>
  </si>
  <si>
    <t>Error: Désaccord entre les provinces du shapefile et celles des données : / Execution halted</t>
  </si>
  <si>
    <t>RIRADJIM NGARMOUNDOU Trésor</t>
  </si>
  <si>
    <t>s’arrête à 4/11</t>
  </si>
  <si>
    <t>R\03_merge.R</t>
  </si>
  <si>
    <t>7. │ ├─tidyselect:::with_subscript_errors(...) / Execution halted</t>
  </si>
  <si>
    <t>DIOP Marème</t>
  </si>
  <si>
    <t>script1.R</t>
  </si>
  <si>
    <t>Error: object 'ensan_men2' not found / Execution halted</t>
  </si>
  <si>
    <t>DIABANG Mamadou Lamine</t>
  </si>
  <si>
    <t>data\processed\scripts.R</t>
  </si>
  <si>
    <t>! Cannot find directory 'output/figures'. / Execution halted</t>
  </si>
  <si>
    <t>Quintiles non pondérés présentés comme représentatifs (-1) ; Chaîne de fichiers rompue : 1 lecture(s) sans producteur ni fichier livré (-1)</t>
  </si>
  <si>
    <t>DEME Safiétou</t>
  </si>
  <si>
    <t>R\01_Nettoyage.R</t>
  </si>
  <si>
    <t>Error in col_factor() : argument "domain" is missing, with no default / Execution halted</t>
  </si>
  <si>
    <t>Figures exportées à la main, non regénérables par le code (-1)</t>
  </si>
  <si>
    <t>OUMAROU SOULEYE Ahmed Firhoun</t>
  </si>
  <si>
    <t>R\01_nettoyage.R</t>
  </si>
  <si>
    <t>18. └─rlang::abort(message, class = error_class, parent = parent, call = error_call) / Execution halted</t>
  </si>
  <si>
    <t>Appels ggsave() présents mais aucune figure produite (-1)</t>
  </si>
  <si>
    <t>SECK Mouhamet</t>
  </si>
  <si>
    <t>Partie1\docs\assemble.R</t>
  </si>
  <si>
    <t>cannot change working directory / Execution halted</t>
  </si>
  <si>
    <t>Quintiles non pondérés présentés comme représentatifs (-1) ; Chemin absolu ou setwd() dans le code (-1) ; Chaîne de fichiers rompue : 5 lecture(s) sans producteur ni fichier livré (-1)</t>
  </si>
  <si>
    <t>BAGBONON Apollos</t>
  </si>
  <si>
    <t>s’arrête à 1/3</t>
  </si>
  <si>
    <t>R\nettoyage.R</t>
  </si>
  <si>
    <t>13. └─tidyselect:::stop_formula(expr, call = error_call) / Execution halted</t>
  </si>
  <si>
    <t>Piège des chefs dupliqués détecté et documenté (3 555 vs 3 540) (+1)</t>
  </si>
  <si>
    <t>ANDRIALALAOSOA Marcellin</t>
  </si>
  <si>
    <t>LO Serigne Ndame</t>
  </si>
  <si>
    <t>R\Analyse.R</t>
  </si>
  <si>
    <t>16. └─rlang::abort(message, class = c(class, "vctrs_error"), ..., call = call) at vctrs/R/conditions.R:65:3 /</t>
  </si>
  <si>
    <t>ADDJITA Gérald Guerngué</t>
  </si>
  <si>
    <t>YEMELI SAAH Eugène Crespo</t>
  </si>
  <si>
    <t>Error in read_excel(here("data", "raw", "ensan_consommation.xlsx"), sheet = "Consommation_groupes") : / Execut</t>
  </si>
  <si>
    <t>DIOP Joo Young</t>
  </si>
  <si>
    <t>script\Partie1.R</t>
  </si>
  <si>
    <t>17. └─rlang::abort(message, parent = cnd, call = error_call) / Execution halted</t>
  </si>
  <si>
    <t>ANDIL BEN</t>
  </si>
  <si>
    <t>Aucun plan de sondage : statistiques non pondérées (-1) ; Chemin absolu ou setwd() dans le code (-1)</t>
  </si>
  <si>
    <t>DICKO Hamadou</t>
  </si>
  <si>
    <t>Aucun plan de sondage : statistiques non pondérées (-1)</t>
  </si>
  <si>
    <t>FINARITRINIAINA Manampisoa Clarrat</t>
  </si>
  <si>
    <t>R.R</t>
  </si>
  <si>
    <t>Error in read_excel("Data/raw/ensan_consommation.xlsx") : / Execution halted</t>
  </si>
  <si>
    <t>Aucun plan de sondage : statistiques non pondérées (-1) ; Chemin absolu ou setwd() dans le code (-1) ; Effectif du fichier source mal décrit dans le rapport (-1)</t>
  </si>
  <si>
    <t>BA Awa</t>
  </si>
  <si>
    <t>s’arrête à 1/4</t>
  </si>
  <si>
    <t>R\analyse.R</t>
  </si>
  <si>
    <t>erreur sans message</t>
  </si>
  <si>
    <t>DIALLO Bourama</t>
  </si>
  <si>
    <t>Aucun plan de sondage : statistiques non pondérées (-1) ; Chemin absolu ou setwd() dans le code (-1) ; Appels ggsave() présents mais aucune figure produite (-1)</t>
  </si>
  <si>
    <t>LO Ousmane</t>
  </si>
  <si>
    <t>R\script.R</t>
  </si>
  <si>
    <t>Error: object 'nrow_menage_choc_menage' not found / Execution halted</t>
  </si>
  <si>
    <t xml:space="preserve">Diagnostic de l’échec
</t>
  </si>
  <si>
    <t>Bloc du barème</t>
  </si>
  <si>
    <t>Points</t>
  </si>
  <si>
    <t>Détail des critères</t>
  </si>
  <si>
    <t>Observation</t>
  </si>
  <si>
    <t>Organisation et reproductibilité</t>
  </si>
  <si>
    <t>Arborescence (2) ; Projet .Rproj (1) ; Scripts numérotés (2)</t>
  </si>
  <si>
    <t>Section 1 - Import, structuration, nettoyage</t>
  </si>
  <si>
    <t>Import des 5 sources (4) ; Jointures + vérification (4) ; Harmonisation des régions (3) ; naniar + NA tagués (3) ; Mécanisme + mice (3)</t>
  </si>
  <si>
    <t>Section 2 - Pondération et indices composites</t>
  </si>
  <si>
    <t>Plan de sondage srvyr (5) ; HDDS + classification FAO (3) ; Indice composite justifié (7) ; Tableau 1 gtsummary (3) ; Gini + IC bootstrap (2)</t>
  </si>
  <si>
    <t>Section 3 - Visualisation</t>
  </si>
  <si>
    <t>Densités par région (2) ; Carte choroplèthe (3) ; Carte interactive tmap (2) ; Figure patchwork (2)</t>
  </si>
  <si>
    <t>Section 5 - Communication</t>
  </si>
  <si>
    <t>Document R Markdown structuré (2) ; ≥ 3 inline code (1) ; Notes régionales paramétrées (4)</t>
  </si>
  <si>
    <t>Diagnostic technique - exécution et livrables</t>
  </si>
  <si>
    <t>Mesure ce que le rendu produit effectivement, non ce que le code demande</t>
  </si>
  <si>
    <t>Total Partie 1</t>
  </si>
  <si>
    <t>Somme des six blocs</t>
  </si>
  <si>
    <t>Hors exigence Git et hors renv.lock</t>
  </si>
  <si>
    <t>Bonus Partie 2 (API SDG)</t>
  </si>
  <si>
    <t>Partie non exigible</t>
  </si>
  <si>
    <t>Trois candidats seulement l’ont traitée</t>
  </si>
  <si>
    <t>Total maximal</t>
  </si>
  <si>
    <t>Note /70 plus bonus Partie 2, plafonné à 70</t>
  </si>
  <si>
    <t>Note /20 plafonnée à 20</t>
  </si>
  <si>
    <t>Contrôle de justesse</t>
  </si>
  <si>
    <t>Gini, HDDS et revenu par tête publiés, comparés aux valeurs de référence</t>
  </si>
  <si>
    <t>Verdicts : conforme, non concluant, non publié</t>
  </si>
  <si>
    <t>Malus</t>
  </si>
  <si>
    <t>Quintiles non pondérés présentés comme représentatifs</t>
  </si>
  <si>
    <t>Absence totale de plan de sondage</t>
  </si>
  <si>
    <t>Vocabulaire causal sans cadrage</t>
  </si>
  <si>
    <t>Chemin absolu ou setwd() dans le code</t>
  </si>
  <si>
    <t>Chaîne de fichiers rompue : lectures sans producteur ni fichier livré</t>
  </si>
  <si>
    <t>Figures exportées à la main, non regénérables par le code</t>
  </si>
  <si>
    <t>ggsave() présent sans figure produite</t>
  </si>
  <si>
    <t>Effectif du fichier source mal décrit dans le rapport</t>
  </si>
  <si>
    <t>Erreur de résultat constatée à la lecture</t>
  </si>
  <si>
    <t>Bonus</t>
  </si>
  <si>
    <t>Au moins deux pièges non signalés traités</t>
  </si>
  <si>
    <t>Quintiles pondérés</t>
  </si>
  <si>
    <t>Piège des chefs dupliqués détecté et documenté</t>
  </si>
  <si>
    <t>Au moins deux indicateurs publiés conformes</t>
  </si>
  <si>
    <t>Règle de calcul</t>
  </si>
  <si>
    <t>Note /70 = MIN(70 ; six blocs + malus + bonus)</t>
  </si>
  <si>
    <t>Total /70 = Note /70 + bonus Partie 2</t>
  </si>
  <si>
    <t>Note /20 = MIN(20 ; Total /70 / 70 x 20)</t>
  </si>
  <si>
    <t>Conversion linéaire</t>
  </si>
  <si>
    <t>Note
/70</t>
  </si>
  <si>
    <t>Organisation et
reproductibilité
/5</t>
  </si>
  <si>
    <t>Section 1
Import, structuration,
nettoyage /17</t>
  </si>
  <si>
    <t>Section 2
Pondération et indices
composites /20</t>
  </si>
  <si>
    <t>Section 3
Visualisation
/9</t>
  </si>
  <si>
    <t>Section 5
Communication
/7</t>
  </si>
  <si>
    <t>Diagnostic technique
Exécution et
livrables /12</t>
  </si>
  <si>
    <t>Bonus
Partie 2
/5</t>
  </si>
  <si>
    <t>Total
/70</t>
  </si>
  <si>
    <t>Note
/20</t>
  </si>
  <si>
    <t>Exécution de Hema (6) ; Rapport compilé en HTML (1) ; Rapport compilé en Word (1) ; Figures exportées en PNG (1) ; Figures exportées en PDF (1) ; Tableaux exportés (1) ; Notes régionales produites (1)</t>
  </si>
  <si>
    <t>YES</t>
  </si>
  <si>
    <t>IA User (Excessive)</t>
  </si>
  <si>
    <t>MODERATE</t>
  </si>
  <si>
    <t>Error: path does not exist</t>
  </si>
  <si>
    <t>Message d’erreur relevé</t>
  </si>
  <si>
    <t>Explication</t>
  </si>
  <si>
    <t>IL avait deja prepare la maquette avec l'AI</t>
  </si>
  <si>
    <t>IL avait deja prepare la maquette avec l'AI (Maquette envoyee au Prof)</t>
  </si>
  <si>
    <t>Note finale/20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</si>
</sst>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B"/>
        <bgColor rgb="FFFFFFFF"/>
      </patternFill>
    </fill>
    <fill>
      <patternFill patternType="solid">
        <fgColor rgb="FFE2EFDA"/>
        <bgColor rgb="FFD9E2F3"/>
      </patternFill>
    </fill>
    <fill>
      <patternFill patternType="solid">
        <fgColor rgb="FFFFF2CC"/>
        <bgColor rgb="FFE2EFDA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E2EFDA"/>
      </patternFill>
    </fill>
    <fill>
      <patternFill patternType="solid">
        <fgColor rgb="FFFF0000"/>
        <bgColor rgb="FFFFFFFF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BCB37C-EB15-4C4A-8755-36B9DF40A041}" name="Table1" displayName="Table1" ref="A1:AA37" totalsRowShown="0">
  <autoFilter ref="A1:AA37" xr:uid="{23BCB37C-EB15-4C4A-8755-36B9DF40A041}"/>
  <tableColumns count="27">
    <tableColumn id="2" xr3:uid="{2D880959-4AB5-44A7-9B81-0E8514CF61C6}" name="Étudiant"/>
    <tableColumn id="3" xr3:uid="{FDACCB3C-E377-4A9A-AE80-229689EDD2AD}" name="Statut d’exécution"/>
    <tableColumn id="4" xr3:uid="{34E14D38-BD56-4401-81B0-614AEB515CAB}" name="Échec hors_x000a_code"/>
    <tableColumn id="5" xr3:uid="{BA3B3A1F-4C95-49B0-8051-CA7BDBDEFC39}" name="Scripts_x000a_exécutés"/>
    <tableColumn id="6" xr3:uid="{FF0CB308-76DF-4203-B762-7010FC46CA89}" name="Scripts_x000a_soumis"/>
    <tableColumn id="7" xr3:uid="{5A3690EA-898A-4FC4-BBA2-98F8C049B2C8}" name="Taux_x000a_d’exécution"/>
    <tableColumn id="8" xr3:uid="{5A6777A7-57F7-45DD-B0A1-A4A12D8D490B}" name="Durée_x000a_(s)"/>
    <tableColumn id="9" xr3:uid="{395CC42F-84DA-40E1-8ECE-A2063037C11F}" name="Script en échec"/>
    <tableColumn id="10" xr3:uid="{0A1780E1-B742-47C5-8211-A8F31BCF7D13}" name="Message d’erreur relevé"/>
    <tableColumn id="11" xr3:uid="{24E4903F-BC53-4113-8D61-3BBEB09A9FEC}" name="Diagnostic de l’échec_x000a_"/>
    <tableColumn id="13" xr3:uid="{6E7F6226-6D54-42CC-8982-1814317CD95D}" name="Fichiers"/>
    <tableColumn id="14" xr3:uid="{369C171C-4EF2-4FE7-8E54-BC2011AFCEC6}" name="Scripts R"/>
    <tableColumn id="15" xr3:uid="{86C305C2-3265-49A4-A4AA-85DF72E33BCB}" name="dont_x000a_numérotés"/>
    <tableColumn id="16" xr3:uid="{6DA57D62-003B-4249-BEC3-F63D589968E6}" name="R Markdown"/>
    <tableColumn id="19" xr3:uid="{DD086022-C124-4C31-997B-98207BAA8D38}" name="Inline_x000a_code"/>
    <tableColumn id="20" xr3:uid="{A17CE7B1-DAB9-4D4A-810A-EDE8998E81BF}" name="PNG"/>
    <tableColumn id="21" xr3:uid="{790E8820-2172-4C44-BFA6-7C324477C357}" name="HTML"/>
    <tableColumn id="22" xr3:uid="{1C005D4E-9EC5-4EA3-9B7C-BF985EF3426C}" name="Word"/>
    <tableColumn id="23" xr3:uid="{0E516804-CA10-446A-8F0A-54DE70927416}" name="PDF"/>
    <tableColumn id="24" xr3:uid="{55F7671F-4A45-4124-80D1-E979D0C6173F}" name="Gini_x000a_publié"/>
    <tableColumn id="25" xr3:uid="{730EFFB4-0EE8-4530-A773-8B50D83F720B}" name="Gini_x000a_verdict"/>
    <tableColumn id="26" xr3:uid="{F2DFDD71-707C-4107-98D4-A67921327CD2}" name="HDDS_x000a_publié"/>
    <tableColumn id="27" xr3:uid="{A6F593D6-0B0A-43DD-B390-85505A34046C}" name="HDDS_x000a_verdict"/>
    <tableColumn id="28" xr3:uid="{A37CF0C8-84D8-4169-B4DE-96566D4607B7}" name="Revenu/tête_x000a_publié"/>
    <tableColumn id="29" xr3:uid="{8674A733-BF6F-44C1-95A3-E019BB22765A}" name="Revenu/tête_x000a_verdict"/>
    <tableColumn id="30" xr3:uid="{865AD9A6-4AD9-413A-BBD8-290B562705ED}" name="Malus retenus"/>
    <tableColumn id="31" xr3:uid="{CE1A7D82-36AF-49AB-A242-9F5DB8328CF8}" name="Bonus reten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4AAF-171B-42DC-A9B7-5149899FFFB4}">
  <dimension ref="A1:D29"/>
  <sheetViews>
    <sheetView workbookViewId="0">
      <selection activeCell="C16" sqref="C16"/>
    </sheetView>
  </sheetViews>
  <sheetFormatPr defaultRowHeight="14.5" x14ac:dyDescent="0.35"/>
  <cols>
    <col min="1" max="1" width="39.90625" bestFit="1" customWidth="1"/>
    <col min="2" max="2" width="6.26953125" bestFit="1" customWidth="1"/>
    <col min="3" max="3" width="176.453125" bestFit="1" customWidth="1"/>
  </cols>
  <sheetData>
    <row r="1" spans="1:4" x14ac:dyDescent="0.35">
      <c r="A1" t="s">
        <v>149</v>
      </c>
      <c r="B1" t="s">
        <v>150</v>
      </c>
      <c r="C1" t="s">
        <v>151</v>
      </c>
      <c r="D1" t="s">
        <v>152</v>
      </c>
    </row>
    <row r="2" spans="1:4" x14ac:dyDescent="0.35">
      <c r="A2" t="s">
        <v>153</v>
      </c>
      <c r="B2">
        <v>5</v>
      </c>
      <c r="C2" t="s">
        <v>154</v>
      </c>
    </row>
    <row r="3" spans="1:4" x14ac:dyDescent="0.35">
      <c r="A3" t="s">
        <v>155</v>
      </c>
      <c r="B3">
        <v>17</v>
      </c>
      <c r="C3" t="s">
        <v>156</v>
      </c>
    </row>
    <row r="4" spans="1:4" x14ac:dyDescent="0.35">
      <c r="A4" t="s">
        <v>157</v>
      </c>
      <c r="B4">
        <v>20</v>
      </c>
      <c r="C4" t="s">
        <v>158</v>
      </c>
    </row>
    <row r="5" spans="1:4" x14ac:dyDescent="0.35">
      <c r="A5" t="s">
        <v>159</v>
      </c>
      <c r="B5">
        <v>9</v>
      </c>
      <c r="C5" t="s">
        <v>160</v>
      </c>
    </row>
    <row r="6" spans="1:4" x14ac:dyDescent="0.35">
      <c r="A6" t="s">
        <v>161</v>
      </c>
      <c r="B6">
        <v>7</v>
      </c>
      <c r="C6" t="s">
        <v>162</v>
      </c>
    </row>
    <row r="7" spans="1:4" x14ac:dyDescent="0.35">
      <c r="A7" t="s">
        <v>163</v>
      </c>
      <c r="B7">
        <v>12</v>
      </c>
      <c r="C7" t="s">
        <v>207</v>
      </c>
      <c r="D7" t="s">
        <v>164</v>
      </c>
    </row>
    <row r="8" spans="1:4" x14ac:dyDescent="0.35">
      <c r="A8" t="s">
        <v>165</v>
      </c>
      <c r="B8">
        <v>70</v>
      </c>
      <c r="C8" t="s">
        <v>166</v>
      </c>
      <c r="D8" t="s">
        <v>167</v>
      </c>
    </row>
    <row r="9" spans="1:4" x14ac:dyDescent="0.35">
      <c r="A9" t="s">
        <v>168</v>
      </c>
      <c r="B9">
        <v>5</v>
      </c>
      <c r="C9" t="s">
        <v>169</v>
      </c>
      <c r="D9" t="s">
        <v>170</v>
      </c>
    </row>
    <row r="10" spans="1:4" x14ac:dyDescent="0.35">
      <c r="A10" t="s">
        <v>171</v>
      </c>
      <c r="B10">
        <v>70</v>
      </c>
      <c r="C10" t="s">
        <v>172</v>
      </c>
      <c r="D10" t="s">
        <v>173</v>
      </c>
    </row>
    <row r="11" spans="1:4" x14ac:dyDescent="0.35">
      <c r="A11" t="s">
        <v>174</v>
      </c>
      <c r="C11" t="s">
        <v>175</v>
      </c>
      <c r="D11" t="s">
        <v>176</v>
      </c>
    </row>
    <row r="13" spans="1:4" x14ac:dyDescent="0.35">
      <c r="A13" t="s">
        <v>177</v>
      </c>
      <c r="B13">
        <v>-1</v>
      </c>
      <c r="C13" t="s">
        <v>178</v>
      </c>
    </row>
    <row r="14" spans="1:4" x14ac:dyDescent="0.35">
      <c r="A14" t="s">
        <v>177</v>
      </c>
      <c r="B14">
        <v>-1</v>
      </c>
      <c r="C14" t="s">
        <v>179</v>
      </c>
    </row>
    <row r="15" spans="1:4" x14ac:dyDescent="0.35">
      <c r="A15" t="s">
        <v>177</v>
      </c>
      <c r="B15">
        <v>-1</v>
      </c>
      <c r="C15" t="s">
        <v>180</v>
      </c>
    </row>
    <row r="16" spans="1:4" x14ac:dyDescent="0.35">
      <c r="A16" t="s">
        <v>177</v>
      </c>
      <c r="B16">
        <v>-1</v>
      </c>
      <c r="C16" t="s">
        <v>181</v>
      </c>
    </row>
    <row r="17" spans="1:4" x14ac:dyDescent="0.35">
      <c r="A17" t="s">
        <v>177</v>
      </c>
      <c r="B17">
        <v>-1</v>
      </c>
      <c r="C17" t="s">
        <v>182</v>
      </c>
    </row>
    <row r="18" spans="1:4" x14ac:dyDescent="0.35">
      <c r="A18" t="s">
        <v>177</v>
      </c>
      <c r="B18">
        <v>-1</v>
      </c>
      <c r="C18" t="s">
        <v>183</v>
      </c>
    </row>
    <row r="19" spans="1:4" x14ac:dyDescent="0.35">
      <c r="A19" t="s">
        <v>177</v>
      </c>
      <c r="B19">
        <v>-1</v>
      </c>
      <c r="C19" t="s">
        <v>184</v>
      </c>
    </row>
    <row r="20" spans="1:4" x14ac:dyDescent="0.35">
      <c r="A20" t="s">
        <v>177</v>
      </c>
      <c r="B20">
        <v>-1</v>
      </c>
      <c r="C20" t="s">
        <v>185</v>
      </c>
    </row>
    <row r="21" spans="1:4" x14ac:dyDescent="0.35">
      <c r="A21" t="s">
        <v>177</v>
      </c>
      <c r="B21">
        <v>-1</v>
      </c>
      <c r="C21" t="s">
        <v>186</v>
      </c>
    </row>
    <row r="22" spans="1:4" x14ac:dyDescent="0.35">
      <c r="A22" t="s">
        <v>187</v>
      </c>
      <c r="B22">
        <v>1</v>
      </c>
      <c r="C22" t="s">
        <v>188</v>
      </c>
    </row>
    <row r="23" spans="1:4" x14ac:dyDescent="0.35">
      <c r="A23" t="s">
        <v>187</v>
      </c>
      <c r="B23">
        <v>1</v>
      </c>
      <c r="C23" t="s">
        <v>189</v>
      </c>
    </row>
    <row r="24" spans="1:4" x14ac:dyDescent="0.35">
      <c r="A24" t="s">
        <v>187</v>
      </c>
      <c r="B24">
        <v>1</v>
      </c>
      <c r="C24" t="s">
        <v>190</v>
      </c>
    </row>
    <row r="25" spans="1:4" x14ac:dyDescent="0.35">
      <c r="A25" t="s">
        <v>187</v>
      </c>
      <c r="B25">
        <v>1</v>
      </c>
      <c r="C25" t="s">
        <v>191</v>
      </c>
    </row>
    <row r="27" spans="1:4" x14ac:dyDescent="0.35">
      <c r="A27" t="s">
        <v>192</v>
      </c>
      <c r="C27" t="s">
        <v>193</v>
      </c>
    </row>
    <row r="28" spans="1:4" x14ac:dyDescent="0.35">
      <c r="A28" t="s">
        <v>192</v>
      </c>
      <c r="C28" t="s">
        <v>194</v>
      </c>
    </row>
    <row r="29" spans="1:4" x14ac:dyDescent="0.35">
      <c r="A29" t="s">
        <v>192</v>
      </c>
      <c r="C29" t="s">
        <v>195</v>
      </c>
      <c r="D29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93EA-CB24-4DB1-99F9-235E53AB4A74}">
  <dimension ref="A1:AA37"/>
  <sheetViews>
    <sheetView topLeftCell="I1" workbookViewId="0">
      <selection activeCell="I36" sqref="I36"/>
    </sheetView>
  </sheetViews>
  <sheetFormatPr defaultRowHeight="14.5" x14ac:dyDescent="0.35"/>
  <cols>
    <col min="1" max="1" width="34.1796875" bestFit="1" customWidth="1"/>
    <col min="2" max="2" width="23.81640625" bestFit="1" customWidth="1"/>
    <col min="8" max="8" width="15.7265625" customWidth="1"/>
    <col min="9" max="9" width="97.26953125" bestFit="1" customWidth="1"/>
    <col min="11" max="11" width="9.54296875" customWidth="1"/>
    <col min="12" max="12" width="10.26953125" customWidth="1"/>
    <col min="14" max="14" width="13" customWidth="1"/>
    <col min="26" max="26" width="14.54296875" customWidth="1"/>
    <col min="27" max="27" width="96.90625" bestFit="1" customWidth="1"/>
  </cols>
  <sheetData>
    <row r="1" spans="1:27" ht="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212</v>
      </c>
      <c r="J1" s="2" t="s">
        <v>148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s="15" customFormat="1" x14ac:dyDescent="0.35">
      <c r="A2" s="15" t="s">
        <v>25</v>
      </c>
      <c r="B2" s="15" t="s">
        <v>26</v>
      </c>
      <c r="C2" s="15" t="s">
        <v>27</v>
      </c>
      <c r="D2" s="15">
        <v>10</v>
      </c>
      <c r="E2" s="15">
        <v>19</v>
      </c>
      <c r="F2" s="15">
        <v>0.52631578947368418</v>
      </c>
      <c r="G2" s="15">
        <v>225.7</v>
      </c>
      <c r="H2" s="15" t="s">
        <v>28</v>
      </c>
      <c r="I2" s="15" t="s">
        <v>29</v>
      </c>
      <c r="J2" s="15" t="s">
        <v>30</v>
      </c>
      <c r="K2" s="15">
        <v>104</v>
      </c>
      <c r="L2" s="15">
        <v>20</v>
      </c>
      <c r="M2" s="15">
        <v>17</v>
      </c>
      <c r="N2" s="15">
        <v>2</v>
      </c>
      <c r="O2" s="15">
        <v>45</v>
      </c>
      <c r="P2" s="15">
        <v>15</v>
      </c>
      <c r="Q2" s="15">
        <v>26</v>
      </c>
      <c r="R2" s="15">
        <v>1</v>
      </c>
      <c r="S2" s="15">
        <v>7</v>
      </c>
      <c r="T2" s="15">
        <v>0.44333499999999998</v>
      </c>
      <c r="U2" s="15" t="s">
        <v>31</v>
      </c>
      <c r="V2" s="15">
        <v>6</v>
      </c>
      <c r="W2" s="15" t="s">
        <v>31</v>
      </c>
      <c r="X2" s="15">
        <v>17313</v>
      </c>
      <c r="Y2" s="15" t="s">
        <v>31</v>
      </c>
      <c r="Z2" s="15" t="s">
        <v>32</v>
      </c>
      <c r="AA2" s="15" t="s">
        <v>33</v>
      </c>
    </row>
    <row r="3" spans="1:27" x14ac:dyDescent="0.35">
      <c r="A3" t="s">
        <v>34</v>
      </c>
      <c r="B3" t="s">
        <v>35</v>
      </c>
      <c r="D3">
        <v>4</v>
      </c>
      <c r="E3">
        <v>9</v>
      </c>
      <c r="F3">
        <v>0.44444444444444442</v>
      </c>
      <c r="G3">
        <v>82.8</v>
      </c>
      <c r="H3" t="s">
        <v>36</v>
      </c>
      <c r="I3" t="s">
        <v>37</v>
      </c>
      <c r="K3">
        <v>98</v>
      </c>
      <c r="L3">
        <v>11</v>
      </c>
      <c r="M3">
        <v>9</v>
      </c>
      <c r="N3">
        <v>2</v>
      </c>
      <c r="O3">
        <v>28</v>
      </c>
      <c r="P3">
        <v>9</v>
      </c>
      <c r="Q3">
        <v>19</v>
      </c>
      <c r="R3">
        <v>25</v>
      </c>
      <c r="S3">
        <v>8</v>
      </c>
      <c r="T3">
        <v>0.45400000000000001</v>
      </c>
      <c r="U3" t="s">
        <v>31</v>
      </c>
      <c r="V3">
        <v>6.48</v>
      </c>
      <c r="W3" t="s">
        <v>31</v>
      </c>
      <c r="X3">
        <v>17824</v>
      </c>
      <c r="Y3" t="s">
        <v>31</v>
      </c>
      <c r="Z3" t="s">
        <v>38</v>
      </c>
      <c r="AA3" t="s">
        <v>39</v>
      </c>
    </row>
    <row r="4" spans="1:27" x14ac:dyDescent="0.35">
      <c r="A4" t="s">
        <v>40</v>
      </c>
      <c r="B4" t="s">
        <v>41</v>
      </c>
      <c r="D4">
        <v>0</v>
      </c>
      <c r="E4">
        <v>1</v>
      </c>
      <c r="F4">
        <v>0</v>
      </c>
      <c r="G4">
        <v>57.4</v>
      </c>
      <c r="H4" t="s">
        <v>42</v>
      </c>
      <c r="I4" t="s">
        <v>43</v>
      </c>
      <c r="K4">
        <v>86</v>
      </c>
      <c r="L4">
        <v>11</v>
      </c>
      <c r="M4">
        <v>9</v>
      </c>
      <c r="N4">
        <v>2</v>
      </c>
      <c r="O4">
        <v>25</v>
      </c>
      <c r="P4">
        <v>6</v>
      </c>
      <c r="Q4">
        <v>2</v>
      </c>
      <c r="R4">
        <v>26</v>
      </c>
      <c r="S4">
        <v>3</v>
      </c>
      <c r="T4">
        <v>0.434</v>
      </c>
      <c r="U4" t="s">
        <v>31</v>
      </c>
      <c r="V4">
        <v>6.5</v>
      </c>
      <c r="W4" t="s">
        <v>31</v>
      </c>
      <c r="X4">
        <v>17355</v>
      </c>
      <c r="Y4" t="s">
        <v>31</v>
      </c>
      <c r="Z4" t="s">
        <v>32</v>
      </c>
      <c r="AA4" t="s">
        <v>33</v>
      </c>
    </row>
    <row r="5" spans="1:27" x14ac:dyDescent="0.35">
      <c r="A5" t="s">
        <v>44</v>
      </c>
      <c r="B5" t="s">
        <v>41</v>
      </c>
      <c r="C5" t="s">
        <v>27</v>
      </c>
      <c r="D5">
        <v>0</v>
      </c>
      <c r="E5">
        <v>4</v>
      </c>
      <c r="F5">
        <v>0</v>
      </c>
      <c r="G5">
        <v>27</v>
      </c>
      <c r="H5" t="s">
        <v>45</v>
      </c>
      <c r="I5" t="s">
        <v>46</v>
      </c>
      <c r="J5" t="s">
        <v>47</v>
      </c>
      <c r="K5">
        <v>43</v>
      </c>
      <c r="L5">
        <v>5</v>
      </c>
      <c r="M5">
        <v>3</v>
      </c>
      <c r="N5">
        <v>1</v>
      </c>
      <c r="O5">
        <v>5</v>
      </c>
      <c r="P5">
        <v>7</v>
      </c>
      <c r="Q5">
        <v>2</v>
      </c>
      <c r="R5">
        <v>0</v>
      </c>
      <c r="S5">
        <v>6</v>
      </c>
      <c r="T5">
        <v>0.449187</v>
      </c>
      <c r="U5" t="s">
        <v>31</v>
      </c>
      <c r="V5">
        <v>6.8</v>
      </c>
      <c r="W5" t="s">
        <v>31</v>
      </c>
      <c r="Y5" t="s">
        <v>48</v>
      </c>
      <c r="Z5" t="s">
        <v>32</v>
      </c>
      <c r="AA5" t="s">
        <v>49</v>
      </c>
    </row>
    <row r="6" spans="1:27" x14ac:dyDescent="0.35">
      <c r="A6" t="s">
        <v>50</v>
      </c>
      <c r="B6" t="s">
        <v>51</v>
      </c>
      <c r="D6">
        <v>1</v>
      </c>
      <c r="E6">
        <v>2</v>
      </c>
      <c r="F6">
        <v>0.5</v>
      </c>
      <c r="G6">
        <v>61.8</v>
      </c>
      <c r="H6" t="s">
        <v>52</v>
      </c>
      <c r="I6" t="s">
        <v>43</v>
      </c>
      <c r="K6">
        <v>38</v>
      </c>
      <c r="L6">
        <v>3</v>
      </c>
      <c r="M6">
        <v>0</v>
      </c>
      <c r="N6">
        <v>2</v>
      </c>
      <c r="O6">
        <v>13</v>
      </c>
      <c r="P6">
        <v>10</v>
      </c>
      <c r="Q6">
        <v>4</v>
      </c>
      <c r="R6">
        <v>3</v>
      </c>
      <c r="S6">
        <v>4</v>
      </c>
      <c r="U6" t="s">
        <v>53</v>
      </c>
      <c r="V6">
        <v>6</v>
      </c>
      <c r="W6" t="s">
        <v>31</v>
      </c>
      <c r="Y6" t="s">
        <v>48</v>
      </c>
      <c r="Z6" t="s">
        <v>54</v>
      </c>
      <c r="AA6" t="s">
        <v>55</v>
      </c>
    </row>
    <row r="7" spans="1:27" x14ac:dyDescent="0.35">
      <c r="A7" t="s">
        <v>56</v>
      </c>
      <c r="B7" t="s">
        <v>41</v>
      </c>
      <c r="D7">
        <v>0</v>
      </c>
      <c r="E7">
        <v>1</v>
      </c>
      <c r="F7">
        <v>0</v>
      </c>
      <c r="G7">
        <v>124.6</v>
      </c>
      <c r="H7" t="s">
        <v>42</v>
      </c>
      <c r="I7" t="s">
        <v>43</v>
      </c>
      <c r="K7">
        <v>39</v>
      </c>
      <c r="L7">
        <v>5</v>
      </c>
      <c r="M7">
        <v>3</v>
      </c>
      <c r="N7">
        <v>1</v>
      </c>
      <c r="O7">
        <v>10</v>
      </c>
      <c r="P7">
        <v>6</v>
      </c>
      <c r="Q7">
        <v>4</v>
      </c>
      <c r="R7">
        <v>2</v>
      </c>
      <c r="S7">
        <v>6</v>
      </c>
      <c r="T7">
        <v>0.44699899999999998</v>
      </c>
      <c r="U7" t="s">
        <v>31</v>
      </c>
      <c r="V7">
        <v>6</v>
      </c>
      <c r="W7" t="s">
        <v>31</v>
      </c>
      <c r="Y7" t="s">
        <v>48</v>
      </c>
      <c r="AA7" t="s">
        <v>57</v>
      </c>
    </row>
    <row r="8" spans="1:27" x14ac:dyDescent="0.35">
      <c r="A8" t="s">
        <v>58</v>
      </c>
      <c r="B8" t="s">
        <v>59</v>
      </c>
      <c r="D8">
        <v>1</v>
      </c>
      <c r="E8">
        <v>1</v>
      </c>
      <c r="F8">
        <v>1</v>
      </c>
      <c r="G8">
        <v>60.1</v>
      </c>
      <c r="K8">
        <v>15</v>
      </c>
      <c r="L8">
        <v>1</v>
      </c>
      <c r="M8">
        <v>0</v>
      </c>
      <c r="N8">
        <v>1</v>
      </c>
      <c r="O8">
        <v>4</v>
      </c>
      <c r="P8">
        <v>3</v>
      </c>
      <c r="Q8">
        <v>0</v>
      </c>
      <c r="R8">
        <v>1</v>
      </c>
      <c r="S8">
        <v>1</v>
      </c>
      <c r="T8">
        <v>0.44400000000000001</v>
      </c>
      <c r="U8" t="s">
        <v>31</v>
      </c>
      <c r="W8" t="s">
        <v>48</v>
      </c>
      <c r="Y8" t="s">
        <v>48</v>
      </c>
      <c r="AA8" t="s">
        <v>60</v>
      </c>
    </row>
    <row r="9" spans="1:27" x14ac:dyDescent="0.35">
      <c r="A9" t="s">
        <v>61</v>
      </c>
      <c r="B9" t="s">
        <v>62</v>
      </c>
      <c r="D9">
        <v>6</v>
      </c>
      <c r="E9">
        <v>12</v>
      </c>
      <c r="F9">
        <v>0.5</v>
      </c>
      <c r="G9">
        <v>34.700000000000003</v>
      </c>
      <c r="H9" t="s">
        <v>63</v>
      </c>
      <c r="I9" t="s">
        <v>64</v>
      </c>
      <c r="K9">
        <v>48</v>
      </c>
      <c r="L9">
        <v>12</v>
      </c>
      <c r="M9">
        <v>8</v>
      </c>
      <c r="N9">
        <v>1</v>
      </c>
      <c r="O9">
        <v>3</v>
      </c>
      <c r="P9">
        <v>2</v>
      </c>
      <c r="Q9">
        <v>0</v>
      </c>
      <c r="R9">
        <v>0</v>
      </c>
      <c r="S9">
        <v>2</v>
      </c>
      <c r="U9" t="s">
        <v>48</v>
      </c>
      <c r="V9">
        <v>6</v>
      </c>
      <c r="W9" t="s">
        <v>31</v>
      </c>
      <c r="Y9" t="s">
        <v>48</v>
      </c>
      <c r="Z9" t="s">
        <v>54</v>
      </c>
      <c r="AA9" t="s">
        <v>65</v>
      </c>
    </row>
    <row r="10" spans="1:27" x14ac:dyDescent="0.35">
      <c r="A10" t="s">
        <v>66</v>
      </c>
      <c r="B10" t="s">
        <v>41</v>
      </c>
      <c r="D10">
        <v>0</v>
      </c>
      <c r="E10">
        <v>1</v>
      </c>
      <c r="F10">
        <v>0</v>
      </c>
      <c r="G10">
        <v>24.8</v>
      </c>
      <c r="H10" t="s">
        <v>42</v>
      </c>
      <c r="I10" t="s">
        <v>67</v>
      </c>
      <c r="K10">
        <v>85</v>
      </c>
      <c r="L10">
        <v>7</v>
      </c>
      <c r="M10">
        <v>0</v>
      </c>
      <c r="N10">
        <v>1</v>
      </c>
      <c r="O10">
        <v>46</v>
      </c>
      <c r="P10">
        <v>27</v>
      </c>
      <c r="Q10">
        <v>2</v>
      </c>
      <c r="R10">
        <v>2</v>
      </c>
      <c r="S10">
        <v>22</v>
      </c>
      <c r="T10">
        <v>0.442</v>
      </c>
      <c r="U10" t="s">
        <v>31</v>
      </c>
      <c r="V10">
        <v>6</v>
      </c>
      <c r="W10" t="s">
        <v>31</v>
      </c>
      <c r="X10">
        <v>17009</v>
      </c>
      <c r="Y10" t="s">
        <v>31</v>
      </c>
      <c r="Z10" t="s">
        <v>68</v>
      </c>
      <c r="AA10" t="s">
        <v>69</v>
      </c>
    </row>
    <row r="11" spans="1:27" x14ac:dyDescent="0.35">
      <c r="A11" t="s">
        <v>70</v>
      </c>
      <c r="B11" t="s">
        <v>59</v>
      </c>
      <c r="D11">
        <v>2</v>
      </c>
      <c r="E11">
        <v>2</v>
      </c>
      <c r="F11">
        <v>1</v>
      </c>
      <c r="G11">
        <v>53.7</v>
      </c>
      <c r="K11">
        <v>40</v>
      </c>
      <c r="L11">
        <v>3</v>
      </c>
      <c r="M11">
        <v>0</v>
      </c>
      <c r="N11">
        <v>1</v>
      </c>
      <c r="O11">
        <v>2</v>
      </c>
      <c r="P11">
        <v>3</v>
      </c>
      <c r="Q11">
        <v>2</v>
      </c>
      <c r="R11">
        <v>3</v>
      </c>
      <c r="S11">
        <v>1</v>
      </c>
      <c r="T11">
        <v>0.39</v>
      </c>
      <c r="U11" t="s">
        <v>31</v>
      </c>
      <c r="W11" t="s">
        <v>48</v>
      </c>
      <c r="Y11" t="s">
        <v>48</v>
      </c>
      <c r="Z11" t="s">
        <v>71</v>
      </c>
      <c r="AA11" t="s">
        <v>55</v>
      </c>
    </row>
    <row r="12" spans="1:27" x14ac:dyDescent="0.35">
      <c r="A12" t="s">
        <v>72</v>
      </c>
      <c r="B12" t="s">
        <v>51</v>
      </c>
      <c r="D12">
        <v>1</v>
      </c>
      <c r="E12">
        <v>2</v>
      </c>
      <c r="F12">
        <v>0.5</v>
      </c>
      <c r="G12">
        <v>62.1</v>
      </c>
      <c r="H12" t="s">
        <v>73</v>
      </c>
      <c r="I12" t="s">
        <v>74</v>
      </c>
      <c r="K12">
        <v>17</v>
      </c>
      <c r="L12">
        <v>3</v>
      </c>
      <c r="M12">
        <v>2</v>
      </c>
      <c r="N12">
        <v>1</v>
      </c>
      <c r="O12">
        <v>2</v>
      </c>
      <c r="P12">
        <v>2</v>
      </c>
      <c r="Q12">
        <v>0</v>
      </c>
      <c r="R12">
        <v>5</v>
      </c>
      <c r="S12">
        <v>0</v>
      </c>
      <c r="T12">
        <v>0.44586599999999998</v>
      </c>
      <c r="U12" t="s">
        <v>31</v>
      </c>
      <c r="V12">
        <v>6</v>
      </c>
      <c r="W12" t="s">
        <v>31</v>
      </c>
      <c r="Y12" t="s">
        <v>48</v>
      </c>
      <c r="Z12" t="s">
        <v>32</v>
      </c>
      <c r="AA12" t="s">
        <v>75</v>
      </c>
    </row>
    <row r="13" spans="1:27" x14ac:dyDescent="0.35">
      <c r="A13" t="s">
        <v>76</v>
      </c>
      <c r="B13" t="s">
        <v>41</v>
      </c>
      <c r="D13">
        <v>0</v>
      </c>
      <c r="E13">
        <v>1</v>
      </c>
      <c r="F13">
        <v>0</v>
      </c>
      <c r="G13">
        <v>4.5999999999999996</v>
      </c>
      <c r="H13" t="s">
        <v>42</v>
      </c>
      <c r="I13" t="s">
        <v>77</v>
      </c>
      <c r="K13">
        <v>24</v>
      </c>
      <c r="L13">
        <v>4</v>
      </c>
      <c r="M13">
        <v>3</v>
      </c>
      <c r="N13">
        <v>1</v>
      </c>
      <c r="O13">
        <v>1</v>
      </c>
      <c r="P13">
        <v>2</v>
      </c>
      <c r="Q13">
        <v>0</v>
      </c>
      <c r="R13">
        <v>3</v>
      </c>
      <c r="S13">
        <v>1</v>
      </c>
      <c r="U13" t="s">
        <v>53</v>
      </c>
      <c r="W13" t="s">
        <v>53</v>
      </c>
      <c r="Y13" t="s">
        <v>53</v>
      </c>
      <c r="Z13" t="s">
        <v>54</v>
      </c>
    </row>
    <row r="14" spans="1:27" x14ac:dyDescent="0.35">
      <c r="A14" t="s">
        <v>78</v>
      </c>
      <c r="B14" t="s">
        <v>41</v>
      </c>
      <c r="D14">
        <v>0</v>
      </c>
      <c r="E14">
        <v>8</v>
      </c>
      <c r="F14">
        <v>0</v>
      </c>
      <c r="G14">
        <v>5.3</v>
      </c>
      <c r="H14" t="s">
        <v>45</v>
      </c>
      <c r="I14" t="s">
        <v>79</v>
      </c>
      <c r="K14">
        <v>40</v>
      </c>
      <c r="L14">
        <v>8</v>
      </c>
      <c r="M14">
        <v>7</v>
      </c>
      <c r="N14">
        <v>2</v>
      </c>
      <c r="O14">
        <v>1</v>
      </c>
      <c r="P14">
        <v>6</v>
      </c>
      <c r="Q14">
        <v>0</v>
      </c>
      <c r="R14">
        <v>0</v>
      </c>
      <c r="S14">
        <v>2</v>
      </c>
      <c r="U14" t="s">
        <v>53</v>
      </c>
      <c r="W14" t="s">
        <v>53</v>
      </c>
      <c r="Y14" t="s">
        <v>53</v>
      </c>
      <c r="Z14" t="s">
        <v>54</v>
      </c>
      <c r="AA14" t="s">
        <v>55</v>
      </c>
    </row>
    <row r="15" spans="1:27" x14ac:dyDescent="0.35">
      <c r="A15" t="s">
        <v>80</v>
      </c>
      <c r="B15" t="s">
        <v>41</v>
      </c>
      <c r="D15">
        <v>0</v>
      </c>
      <c r="E15">
        <v>2</v>
      </c>
      <c r="F15">
        <v>0</v>
      </c>
      <c r="G15">
        <v>24.1</v>
      </c>
      <c r="H15" t="s">
        <v>81</v>
      </c>
      <c r="I15" t="s">
        <v>82</v>
      </c>
      <c r="K15">
        <v>23</v>
      </c>
      <c r="L15">
        <v>2</v>
      </c>
      <c r="M15">
        <v>0</v>
      </c>
      <c r="N15">
        <v>0</v>
      </c>
      <c r="O15">
        <v>0</v>
      </c>
      <c r="P15">
        <v>10</v>
      </c>
      <c r="Q15">
        <v>3</v>
      </c>
      <c r="R15">
        <v>2</v>
      </c>
      <c r="S15">
        <v>2</v>
      </c>
      <c r="U15" t="s">
        <v>53</v>
      </c>
      <c r="V15">
        <v>6.5</v>
      </c>
      <c r="W15" t="s">
        <v>31</v>
      </c>
      <c r="Y15" t="s">
        <v>48</v>
      </c>
      <c r="AA15" t="s">
        <v>83</v>
      </c>
    </row>
    <row r="16" spans="1:27" x14ac:dyDescent="0.35">
      <c r="A16" t="s">
        <v>84</v>
      </c>
      <c r="B16" t="s">
        <v>41</v>
      </c>
      <c r="D16">
        <v>0</v>
      </c>
      <c r="E16">
        <v>1</v>
      </c>
      <c r="F16">
        <v>0</v>
      </c>
      <c r="G16">
        <v>20.9</v>
      </c>
      <c r="H16" t="s">
        <v>42</v>
      </c>
      <c r="I16" t="s">
        <v>85</v>
      </c>
      <c r="K16">
        <v>27</v>
      </c>
      <c r="L16">
        <v>5</v>
      </c>
      <c r="M16">
        <v>4</v>
      </c>
      <c r="N16">
        <v>1</v>
      </c>
      <c r="O16">
        <v>6</v>
      </c>
      <c r="P16">
        <v>8</v>
      </c>
      <c r="Q16">
        <v>5</v>
      </c>
      <c r="R16">
        <v>2</v>
      </c>
      <c r="S16">
        <v>0</v>
      </c>
      <c r="T16">
        <v>0.45388899999999999</v>
      </c>
      <c r="U16" t="s">
        <v>31</v>
      </c>
      <c r="V16">
        <v>6.48</v>
      </c>
      <c r="W16" t="s">
        <v>31</v>
      </c>
      <c r="Y16" t="s">
        <v>48</v>
      </c>
      <c r="Z16" t="s">
        <v>54</v>
      </c>
      <c r="AA16" t="s">
        <v>75</v>
      </c>
    </row>
    <row r="17" spans="1:27" x14ac:dyDescent="0.35">
      <c r="A17" t="s">
        <v>86</v>
      </c>
      <c r="B17" t="s">
        <v>59</v>
      </c>
      <c r="D17">
        <v>3</v>
      </c>
      <c r="E17">
        <v>3</v>
      </c>
      <c r="F17">
        <v>1</v>
      </c>
      <c r="G17">
        <v>9.8000000000000007</v>
      </c>
      <c r="K17">
        <v>16</v>
      </c>
      <c r="L17">
        <v>4</v>
      </c>
      <c r="M17">
        <v>2</v>
      </c>
      <c r="N17">
        <v>1</v>
      </c>
      <c r="O17">
        <v>1</v>
      </c>
      <c r="P17">
        <v>0</v>
      </c>
      <c r="Q17">
        <v>0</v>
      </c>
      <c r="R17">
        <v>2</v>
      </c>
      <c r="S17">
        <v>0</v>
      </c>
      <c r="U17" t="s">
        <v>48</v>
      </c>
      <c r="V17">
        <v>6</v>
      </c>
      <c r="W17" t="s">
        <v>31</v>
      </c>
      <c r="Y17" t="s">
        <v>48</v>
      </c>
      <c r="Z17" t="s">
        <v>87</v>
      </c>
    </row>
    <row r="18" spans="1:27" x14ac:dyDescent="0.35">
      <c r="A18" t="s">
        <v>88</v>
      </c>
      <c r="B18" t="s">
        <v>59</v>
      </c>
      <c r="D18">
        <v>1</v>
      </c>
      <c r="E18">
        <v>1</v>
      </c>
      <c r="F18">
        <v>1</v>
      </c>
      <c r="G18">
        <v>93.3</v>
      </c>
      <c r="K18">
        <v>29</v>
      </c>
      <c r="L18">
        <v>4</v>
      </c>
      <c r="M18">
        <v>2</v>
      </c>
      <c r="N18">
        <v>1</v>
      </c>
      <c r="O18">
        <v>1</v>
      </c>
      <c r="P18">
        <v>7</v>
      </c>
      <c r="Q18">
        <v>0</v>
      </c>
      <c r="R18">
        <v>3</v>
      </c>
      <c r="S18">
        <v>1</v>
      </c>
      <c r="U18" t="s">
        <v>48</v>
      </c>
      <c r="W18" t="s">
        <v>48</v>
      </c>
      <c r="Y18" t="s">
        <v>48</v>
      </c>
      <c r="Z18" t="s">
        <v>32</v>
      </c>
      <c r="AA18" t="s">
        <v>89</v>
      </c>
    </row>
    <row r="19" spans="1:27" x14ac:dyDescent="0.35">
      <c r="A19" t="s">
        <v>90</v>
      </c>
      <c r="B19" t="s">
        <v>41</v>
      </c>
      <c r="D19">
        <v>0</v>
      </c>
      <c r="E19">
        <v>1</v>
      </c>
      <c r="F19">
        <v>0</v>
      </c>
      <c r="G19">
        <v>51.9</v>
      </c>
      <c r="H19" t="s">
        <v>91</v>
      </c>
      <c r="I19" t="s">
        <v>92</v>
      </c>
      <c r="K19">
        <v>39</v>
      </c>
      <c r="L19">
        <v>1</v>
      </c>
      <c r="M19">
        <v>0</v>
      </c>
      <c r="N19">
        <v>1</v>
      </c>
      <c r="O19">
        <v>1</v>
      </c>
      <c r="P19">
        <v>20</v>
      </c>
      <c r="Q19">
        <v>0</v>
      </c>
      <c r="R19">
        <v>1</v>
      </c>
      <c r="S19">
        <v>0</v>
      </c>
      <c r="U19" t="s">
        <v>53</v>
      </c>
      <c r="W19" t="s">
        <v>53</v>
      </c>
      <c r="Y19" t="s">
        <v>53</v>
      </c>
      <c r="Z19" t="s">
        <v>87</v>
      </c>
      <c r="AA19" t="s">
        <v>55</v>
      </c>
    </row>
    <row r="20" spans="1:27" x14ac:dyDescent="0.35">
      <c r="A20" t="s">
        <v>93</v>
      </c>
      <c r="B20" t="s">
        <v>94</v>
      </c>
      <c r="D20">
        <v>4</v>
      </c>
      <c r="E20">
        <v>11</v>
      </c>
      <c r="F20">
        <v>0.36363636363636365</v>
      </c>
      <c r="G20">
        <v>32.9</v>
      </c>
      <c r="H20" t="s">
        <v>95</v>
      </c>
      <c r="I20" t="s">
        <v>96</v>
      </c>
      <c r="K20">
        <v>64</v>
      </c>
      <c r="L20">
        <v>12</v>
      </c>
      <c r="M20">
        <v>10</v>
      </c>
      <c r="N20">
        <v>0</v>
      </c>
      <c r="O20">
        <v>0</v>
      </c>
      <c r="P20">
        <v>6</v>
      </c>
      <c r="Q20">
        <v>2</v>
      </c>
      <c r="R20">
        <v>0</v>
      </c>
      <c r="S20">
        <v>0</v>
      </c>
      <c r="U20" t="s">
        <v>53</v>
      </c>
      <c r="V20">
        <v>6</v>
      </c>
      <c r="W20" t="s">
        <v>31</v>
      </c>
      <c r="Y20" t="s">
        <v>53</v>
      </c>
      <c r="Z20" t="s">
        <v>32</v>
      </c>
    </row>
    <row r="21" spans="1:27" x14ac:dyDescent="0.35">
      <c r="A21" t="s">
        <v>97</v>
      </c>
      <c r="B21" t="s">
        <v>41</v>
      </c>
      <c r="D21">
        <v>0</v>
      </c>
      <c r="E21">
        <v>1</v>
      </c>
      <c r="F21">
        <v>0</v>
      </c>
      <c r="G21">
        <v>7</v>
      </c>
      <c r="H21" t="s">
        <v>98</v>
      </c>
      <c r="I21" t="s">
        <v>99</v>
      </c>
      <c r="K21">
        <v>10</v>
      </c>
      <c r="L21">
        <v>1</v>
      </c>
      <c r="M21">
        <v>0</v>
      </c>
      <c r="N21">
        <v>1</v>
      </c>
      <c r="O21">
        <v>1</v>
      </c>
      <c r="P21">
        <v>4</v>
      </c>
      <c r="Q21">
        <v>0</v>
      </c>
      <c r="R21">
        <v>2</v>
      </c>
      <c r="S21">
        <v>0</v>
      </c>
      <c r="T21">
        <v>0.438</v>
      </c>
      <c r="U21" t="s">
        <v>31</v>
      </c>
      <c r="W21" t="s">
        <v>48</v>
      </c>
      <c r="Y21" t="s">
        <v>48</v>
      </c>
      <c r="Z21" t="s">
        <v>87</v>
      </c>
    </row>
    <row r="22" spans="1:27" x14ac:dyDescent="0.35">
      <c r="A22" t="s">
        <v>100</v>
      </c>
      <c r="B22" t="s">
        <v>41</v>
      </c>
      <c r="D22">
        <v>0</v>
      </c>
      <c r="E22">
        <v>1</v>
      </c>
      <c r="F22">
        <v>0</v>
      </c>
      <c r="G22">
        <v>7.2</v>
      </c>
      <c r="H22" t="s">
        <v>101</v>
      </c>
      <c r="I22" t="s">
        <v>102</v>
      </c>
      <c r="K22">
        <v>14</v>
      </c>
      <c r="L22">
        <v>1</v>
      </c>
      <c r="M22">
        <v>0</v>
      </c>
      <c r="N22">
        <v>0</v>
      </c>
      <c r="O22">
        <v>0</v>
      </c>
      <c r="P22">
        <v>6</v>
      </c>
      <c r="Q22">
        <v>0</v>
      </c>
      <c r="R22">
        <v>0</v>
      </c>
      <c r="S22">
        <v>4</v>
      </c>
      <c r="U22" t="s">
        <v>53</v>
      </c>
      <c r="W22" t="s">
        <v>53</v>
      </c>
      <c r="Y22" t="s">
        <v>53</v>
      </c>
      <c r="Z22" t="s">
        <v>103</v>
      </c>
    </row>
    <row r="23" spans="1:27" x14ac:dyDescent="0.35">
      <c r="A23" t="s">
        <v>104</v>
      </c>
      <c r="B23" t="s">
        <v>41</v>
      </c>
      <c r="D23">
        <v>0</v>
      </c>
      <c r="E23">
        <v>1</v>
      </c>
      <c r="F23">
        <v>0</v>
      </c>
      <c r="G23">
        <v>5.0999999999999996</v>
      </c>
      <c r="H23" t="s">
        <v>105</v>
      </c>
      <c r="I23" t="s">
        <v>106</v>
      </c>
      <c r="K23">
        <v>20</v>
      </c>
      <c r="L23">
        <v>1</v>
      </c>
      <c r="M23">
        <v>1</v>
      </c>
      <c r="N23">
        <v>1</v>
      </c>
      <c r="O23">
        <v>0</v>
      </c>
      <c r="P23">
        <v>3</v>
      </c>
      <c r="Q23">
        <v>0</v>
      </c>
      <c r="R23">
        <v>0</v>
      </c>
      <c r="S23">
        <v>0</v>
      </c>
      <c r="U23" t="s">
        <v>48</v>
      </c>
      <c r="W23" t="s">
        <v>48</v>
      </c>
      <c r="Y23" t="s">
        <v>48</v>
      </c>
      <c r="Z23" t="s">
        <v>107</v>
      </c>
      <c r="AA23" t="s">
        <v>55</v>
      </c>
    </row>
    <row r="24" spans="1:27" x14ac:dyDescent="0.35">
      <c r="A24" t="s">
        <v>108</v>
      </c>
      <c r="B24" t="s">
        <v>41</v>
      </c>
      <c r="D24">
        <v>0</v>
      </c>
      <c r="E24">
        <v>4</v>
      </c>
      <c r="F24">
        <v>0</v>
      </c>
      <c r="G24">
        <v>45.3</v>
      </c>
      <c r="H24" t="s">
        <v>109</v>
      </c>
      <c r="I24" t="s">
        <v>110</v>
      </c>
      <c r="K24">
        <v>9</v>
      </c>
      <c r="L24">
        <v>4</v>
      </c>
      <c r="M24">
        <v>2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U24" t="s">
        <v>53</v>
      </c>
      <c r="W24" t="s">
        <v>53</v>
      </c>
      <c r="Y24" t="s">
        <v>53</v>
      </c>
      <c r="Z24" t="s">
        <v>111</v>
      </c>
      <c r="AA24" t="s">
        <v>89</v>
      </c>
    </row>
    <row r="25" spans="1:27" x14ac:dyDescent="0.35">
      <c r="A25" t="s">
        <v>112</v>
      </c>
      <c r="B25" t="s">
        <v>41</v>
      </c>
      <c r="D25">
        <v>0</v>
      </c>
      <c r="E25">
        <v>6</v>
      </c>
      <c r="F25">
        <v>0</v>
      </c>
      <c r="G25">
        <v>2.2999999999999998</v>
      </c>
      <c r="H25" t="s">
        <v>113</v>
      </c>
      <c r="I25" t="s">
        <v>114</v>
      </c>
      <c r="K25">
        <v>81</v>
      </c>
      <c r="L25">
        <v>6</v>
      </c>
      <c r="M25">
        <v>0</v>
      </c>
      <c r="N25">
        <v>2</v>
      </c>
      <c r="O25">
        <v>0</v>
      </c>
      <c r="P25">
        <v>12</v>
      </c>
      <c r="Q25">
        <v>0</v>
      </c>
      <c r="R25">
        <v>8</v>
      </c>
      <c r="S25">
        <v>2</v>
      </c>
      <c r="U25" t="s">
        <v>53</v>
      </c>
      <c r="W25" t="s">
        <v>53</v>
      </c>
      <c r="Y25" t="s">
        <v>48</v>
      </c>
      <c r="Z25" t="s">
        <v>115</v>
      </c>
    </row>
    <row r="26" spans="1:27" x14ac:dyDescent="0.35">
      <c r="A26" t="s">
        <v>116</v>
      </c>
      <c r="B26" t="s">
        <v>117</v>
      </c>
      <c r="D26">
        <v>1</v>
      </c>
      <c r="E26">
        <v>3</v>
      </c>
      <c r="F26">
        <v>0.33333333333333331</v>
      </c>
      <c r="G26">
        <v>19.899999999999999</v>
      </c>
      <c r="H26" t="s">
        <v>118</v>
      </c>
      <c r="I26" t="s">
        <v>119</v>
      </c>
      <c r="K26">
        <v>16</v>
      </c>
      <c r="L26">
        <v>4</v>
      </c>
      <c r="M26">
        <v>0</v>
      </c>
      <c r="N26">
        <v>1</v>
      </c>
      <c r="O26">
        <v>1</v>
      </c>
      <c r="P26">
        <v>1</v>
      </c>
      <c r="Q26">
        <v>0</v>
      </c>
      <c r="R26">
        <v>1</v>
      </c>
      <c r="S26">
        <v>0</v>
      </c>
      <c r="U26" t="s">
        <v>53</v>
      </c>
      <c r="W26" t="s">
        <v>53</v>
      </c>
      <c r="Y26" t="s">
        <v>53</v>
      </c>
      <c r="Z26" t="s">
        <v>32</v>
      </c>
      <c r="AA26" t="s">
        <v>120</v>
      </c>
    </row>
    <row r="27" spans="1:27" x14ac:dyDescent="0.35">
      <c r="A27" t="s">
        <v>121</v>
      </c>
      <c r="B27" t="s">
        <v>59</v>
      </c>
      <c r="D27">
        <v>1</v>
      </c>
      <c r="E27">
        <v>1</v>
      </c>
      <c r="F27">
        <v>1</v>
      </c>
      <c r="G27">
        <v>3.9</v>
      </c>
      <c r="K27">
        <v>15</v>
      </c>
      <c r="L27">
        <v>2</v>
      </c>
      <c r="M27">
        <v>0</v>
      </c>
      <c r="N27">
        <v>1</v>
      </c>
      <c r="O27">
        <v>1</v>
      </c>
      <c r="P27">
        <v>0</v>
      </c>
      <c r="Q27">
        <v>0</v>
      </c>
      <c r="R27">
        <v>3</v>
      </c>
      <c r="S27">
        <v>1</v>
      </c>
      <c r="U27" t="s">
        <v>53</v>
      </c>
      <c r="W27" t="s">
        <v>53</v>
      </c>
      <c r="Y27" t="s">
        <v>53</v>
      </c>
      <c r="Z27" t="s">
        <v>32</v>
      </c>
    </row>
    <row r="28" spans="1:27" x14ac:dyDescent="0.35">
      <c r="A28" t="s">
        <v>122</v>
      </c>
      <c r="B28" t="s">
        <v>41</v>
      </c>
      <c r="D28">
        <v>0</v>
      </c>
      <c r="E28">
        <v>2</v>
      </c>
      <c r="F28">
        <v>0</v>
      </c>
      <c r="G28">
        <v>4.7</v>
      </c>
      <c r="H28" t="s">
        <v>123</v>
      </c>
      <c r="I28" t="s">
        <v>124</v>
      </c>
      <c r="K28">
        <v>6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53</v>
      </c>
      <c r="W28" t="s">
        <v>53</v>
      </c>
      <c r="Y28" t="s">
        <v>53</v>
      </c>
      <c r="Z28" t="s">
        <v>54</v>
      </c>
    </row>
    <row r="29" spans="1:27" x14ac:dyDescent="0.35">
      <c r="A29" t="s">
        <v>125</v>
      </c>
      <c r="B29" t="s">
        <v>59</v>
      </c>
      <c r="D29">
        <v>1</v>
      </c>
      <c r="E29">
        <v>1</v>
      </c>
      <c r="F29">
        <v>1</v>
      </c>
      <c r="G29">
        <v>5.6</v>
      </c>
      <c r="K29">
        <v>16</v>
      </c>
      <c r="L29">
        <v>1</v>
      </c>
      <c r="M29">
        <v>0</v>
      </c>
      <c r="N29">
        <v>0</v>
      </c>
      <c r="O29">
        <v>0</v>
      </c>
      <c r="P29">
        <v>2</v>
      </c>
      <c r="Q29">
        <v>0</v>
      </c>
      <c r="R29">
        <v>0</v>
      </c>
      <c r="S29">
        <v>0</v>
      </c>
      <c r="U29" t="s">
        <v>53</v>
      </c>
      <c r="W29" t="s">
        <v>53</v>
      </c>
      <c r="Y29" t="s">
        <v>53</v>
      </c>
    </row>
    <row r="30" spans="1:27" x14ac:dyDescent="0.35">
      <c r="A30" t="s">
        <v>126</v>
      </c>
      <c r="B30" t="s">
        <v>41</v>
      </c>
      <c r="D30">
        <v>0</v>
      </c>
      <c r="E30">
        <v>1</v>
      </c>
      <c r="F30">
        <v>0</v>
      </c>
      <c r="G30">
        <v>5.9</v>
      </c>
      <c r="H30" t="s">
        <v>42</v>
      </c>
      <c r="I30" t="s">
        <v>127</v>
      </c>
      <c r="K30">
        <v>18</v>
      </c>
      <c r="L30">
        <v>4</v>
      </c>
      <c r="M30">
        <v>0</v>
      </c>
      <c r="N30">
        <v>1</v>
      </c>
      <c r="O30">
        <v>1</v>
      </c>
      <c r="P30">
        <v>2</v>
      </c>
      <c r="Q30">
        <v>0</v>
      </c>
      <c r="R30">
        <v>2</v>
      </c>
      <c r="S30">
        <v>0</v>
      </c>
      <c r="U30" t="s">
        <v>53</v>
      </c>
      <c r="W30" t="s">
        <v>48</v>
      </c>
      <c r="Y30" t="s">
        <v>53</v>
      </c>
      <c r="Z30" t="s">
        <v>87</v>
      </c>
    </row>
    <row r="31" spans="1:27" x14ac:dyDescent="0.35">
      <c r="A31" t="s">
        <v>128</v>
      </c>
      <c r="B31" t="s">
        <v>41</v>
      </c>
      <c r="D31">
        <v>0</v>
      </c>
      <c r="E31">
        <v>1</v>
      </c>
      <c r="F31">
        <v>0</v>
      </c>
      <c r="G31">
        <v>12.8</v>
      </c>
      <c r="H31" t="s">
        <v>129</v>
      </c>
      <c r="I31" t="s">
        <v>130</v>
      </c>
      <c r="K31">
        <v>12</v>
      </c>
      <c r="L31">
        <v>1</v>
      </c>
      <c r="M31">
        <v>0</v>
      </c>
      <c r="N31">
        <v>0</v>
      </c>
      <c r="O31">
        <v>0</v>
      </c>
      <c r="P31">
        <v>3</v>
      </c>
      <c r="Q31">
        <v>0</v>
      </c>
      <c r="R31">
        <v>0</v>
      </c>
      <c r="S31">
        <v>1</v>
      </c>
      <c r="U31" t="s">
        <v>53</v>
      </c>
      <c r="W31" t="s">
        <v>53</v>
      </c>
      <c r="Y31" t="s">
        <v>53</v>
      </c>
      <c r="Z31" t="s">
        <v>54</v>
      </c>
    </row>
    <row r="32" spans="1:27" x14ac:dyDescent="0.35">
      <c r="A32" t="s">
        <v>131</v>
      </c>
      <c r="B32" t="s">
        <v>59</v>
      </c>
      <c r="D32">
        <v>1</v>
      </c>
      <c r="E32">
        <v>1</v>
      </c>
      <c r="F32">
        <v>1</v>
      </c>
      <c r="G32">
        <v>0.4</v>
      </c>
      <c r="K32">
        <v>17</v>
      </c>
      <c r="L32">
        <v>5</v>
      </c>
      <c r="M32">
        <v>0</v>
      </c>
      <c r="N32">
        <v>1</v>
      </c>
      <c r="O32">
        <v>1</v>
      </c>
      <c r="P32">
        <v>0</v>
      </c>
      <c r="Q32">
        <v>0</v>
      </c>
      <c r="R32">
        <v>3</v>
      </c>
      <c r="S32">
        <v>0</v>
      </c>
      <c r="U32" t="s">
        <v>53</v>
      </c>
      <c r="W32" t="s">
        <v>53</v>
      </c>
      <c r="Y32" t="s">
        <v>53</v>
      </c>
      <c r="Z32" t="s">
        <v>132</v>
      </c>
    </row>
    <row r="33" spans="1:27" x14ac:dyDescent="0.35">
      <c r="A33" t="s">
        <v>133</v>
      </c>
      <c r="B33" t="s">
        <v>59</v>
      </c>
      <c r="D33">
        <v>1</v>
      </c>
      <c r="E33">
        <v>1</v>
      </c>
      <c r="F33">
        <v>1</v>
      </c>
      <c r="G33">
        <v>13.7</v>
      </c>
      <c r="K33">
        <v>14</v>
      </c>
      <c r="L33">
        <v>1</v>
      </c>
      <c r="M33">
        <v>0</v>
      </c>
      <c r="N33">
        <v>0</v>
      </c>
      <c r="O33">
        <v>0</v>
      </c>
      <c r="P33">
        <v>2</v>
      </c>
      <c r="Q33">
        <v>0</v>
      </c>
      <c r="R33">
        <v>1</v>
      </c>
      <c r="S33">
        <v>0</v>
      </c>
      <c r="U33" t="s">
        <v>53</v>
      </c>
      <c r="W33" t="s">
        <v>53</v>
      </c>
      <c r="Y33" t="s">
        <v>53</v>
      </c>
      <c r="Z33" t="s">
        <v>134</v>
      </c>
    </row>
    <row r="34" spans="1:27" x14ac:dyDescent="0.35">
      <c r="A34" t="s">
        <v>135</v>
      </c>
      <c r="B34" t="s">
        <v>41</v>
      </c>
      <c r="D34">
        <v>0</v>
      </c>
      <c r="E34">
        <v>1</v>
      </c>
      <c r="F34">
        <v>0</v>
      </c>
      <c r="G34">
        <v>5.7</v>
      </c>
      <c r="H34" t="s">
        <v>136</v>
      </c>
      <c r="I34" t="s">
        <v>137</v>
      </c>
      <c r="K34">
        <v>14</v>
      </c>
      <c r="L34">
        <v>2</v>
      </c>
      <c r="M34">
        <v>0</v>
      </c>
      <c r="N34">
        <v>1</v>
      </c>
      <c r="O34">
        <v>1</v>
      </c>
      <c r="P34">
        <v>2</v>
      </c>
      <c r="Q34">
        <v>0</v>
      </c>
      <c r="R34">
        <v>1</v>
      </c>
      <c r="S34">
        <v>0</v>
      </c>
      <c r="U34" t="s">
        <v>53</v>
      </c>
      <c r="V34">
        <v>7</v>
      </c>
      <c r="W34" t="s">
        <v>31</v>
      </c>
      <c r="Y34" t="s">
        <v>53</v>
      </c>
      <c r="Z34" t="s">
        <v>138</v>
      </c>
    </row>
    <row r="35" spans="1:27" x14ac:dyDescent="0.35">
      <c r="A35" t="s">
        <v>139</v>
      </c>
      <c r="B35" t="s">
        <v>140</v>
      </c>
      <c r="D35">
        <v>1</v>
      </c>
      <c r="E35">
        <v>4</v>
      </c>
      <c r="F35">
        <v>0.25</v>
      </c>
      <c r="G35">
        <v>33.200000000000003</v>
      </c>
      <c r="H35" t="s">
        <v>141</v>
      </c>
      <c r="I35" t="s">
        <v>142</v>
      </c>
      <c r="K35">
        <v>12</v>
      </c>
      <c r="L35">
        <v>2</v>
      </c>
      <c r="M35">
        <v>0</v>
      </c>
      <c r="N35">
        <v>1</v>
      </c>
      <c r="O35">
        <v>0</v>
      </c>
      <c r="P35">
        <v>0</v>
      </c>
      <c r="Q35">
        <v>0</v>
      </c>
      <c r="R35">
        <v>2</v>
      </c>
      <c r="S35">
        <v>0</v>
      </c>
      <c r="U35" t="s">
        <v>53</v>
      </c>
      <c r="W35" t="s">
        <v>53</v>
      </c>
      <c r="Y35" t="s">
        <v>48</v>
      </c>
      <c r="Z35" t="s">
        <v>32</v>
      </c>
    </row>
    <row r="36" spans="1:27" x14ac:dyDescent="0.35">
      <c r="A36" t="s">
        <v>143</v>
      </c>
      <c r="B36" t="s">
        <v>41</v>
      </c>
      <c r="D36">
        <v>0</v>
      </c>
      <c r="E36">
        <v>1</v>
      </c>
      <c r="F36">
        <v>0</v>
      </c>
      <c r="G36">
        <v>17.600000000000001</v>
      </c>
      <c r="H36" t="s">
        <v>42</v>
      </c>
      <c r="I36" t="s">
        <v>211</v>
      </c>
      <c r="K36">
        <v>26</v>
      </c>
      <c r="L36">
        <v>4</v>
      </c>
      <c r="M36">
        <v>2</v>
      </c>
      <c r="N36">
        <v>1</v>
      </c>
      <c r="O36">
        <v>1</v>
      </c>
      <c r="P36">
        <v>0</v>
      </c>
      <c r="Q36">
        <v>0</v>
      </c>
      <c r="R36">
        <v>2</v>
      </c>
      <c r="S36">
        <v>0</v>
      </c>
      <c r="U36" t="s">
        <v>53</v>
      </c>
      <c r="W36" t="s">
        <v>53</v>
      </c>
      <c r="Y36" t="s">
        <v>53</v>
      </c>
      <c r="Z36" t="s">
        <v>144</v>
      </c>
      <c r="AA36" t="s">
        <v>89</v>
      </c>
    </row>
    <row r="37" spans="1:27" x14ac:dyDescent="0.35">
      <c r="A37" t="s">
        <v>145</v>
      </c>
      <c r="B37" t="s">
        <v>41</v>
      </c>
      <c r="D37">
        <v>0</v>
      </c>
      <c r="E37">
        <v>1</v>
      </c>
      <c r="F37">
        <v>0</v>
      </c>
      <c r="G37">
        <v>2.4</v>
      </c>
      <c r="H37" t="s">
        <v>146</v>
      </c>
      <c r="I37" t="s">
        <v>147</v>
      </c>
      <c r="K37">
        <v>11</v>
      </c>
      <c r="L37">
        <v>1</v>
      </c>
      <c r="M37">
        <v>0</v>
      </c>
      <c r="N37">
        <v>1</v>
      </c>
      <c r="O37">
        <v>0</v>
      </c>
      <c r="P37">
        <v>2</v>
      </c>
      <c r="Q37">
        <v>0</v>
      </c>
      <c r="R37">
        <v>0</v>
      </c>
      <c r="S37">
        <v>0</v>
      </c>
      <c r="U37" t="s">
        <v>53</v>
      </c>
      <c r="W37" t="s">
        <v>53</v>
      </c>
      <c r="Y37" t="s">
        <v>53</v>
      </c>
      <c r="Z37" t="s">
        <v>134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5EEE-C78C-478C-BC22-BE5CCE5AEB1C}">
  <dimension ref="A1:P37"/>
  <sheetViews>
    <sheetView tabSelected="1" topLeftCell="D1" workbookViewId="0">
      <selection activeCell="O5" sqref="O5"/>
    </sheetView>
  </sheetViews>
  <sheetFormatPr defaultRowHeight="14.5" x14ac:dyDescent="0.35"/>
  <cols>
    <col min="1" max="1" width="34.54296875" bestFit="1" customWidth="1"/>
    <col min="15" max="15" width="57.1796875" bestFit="1" customWidth="1"/>
  </cols>
  <sheetData>
    <row r="1" spans="1:16" ht="80.5" x14ac:dyDescent="0.35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177</v>
      </c>
      <c r="I1" s="1" t="s">
        <v>187</v>
      </c>
      <c r="J1" s="1" t="s">
        <v>197</v>
      </c>
      <c r="K1" s="1" t="s">
        <v>204</v>
      </c>
      <c r="L1" s="1" t="s">
        <v>205</v>
      </c>
      <c r="M1" s="1" t="s">
        <v>206</v>
      </c>
      <c r="N1" s="12" t="s">
        <v>209</v>
      </c>
      <c r="O1" s="12" t="s">
        <v>213</v>
      </c>
      <c r="P1" s="12" t="s">
        <v>216</v>
      </c>
    </row>
    <row r="2" spans="1:16" x14ac:dyDescent="0.35">
      <c r="A2" s="8" t="s">
        <v>25</v>
      </c>
      <c r="B2" s="7">
        <v>5</v>
      </c>
      <c r="C2" s="7">
        <v>15</v>
      </c>
      <c r="D2" s="7">
        <v>18</v>
      </c>
      <c r="E2" s="7">
        <v>8</v>
      </c>
      <c r="F2" s="7">
        <v>3</v>
      </c>
      <c r="G2" s="11">
        <v>10</v>
      </c>
      <c r="H2" s="9">
        <v>-1</v>
      </c>
      <c r="I2" s="9">
        <v>3</v>
      </c>
      <c r="J2" s="10">
        <f t="shared" ref="J2:J37" si="0">MIN(70,SUM(B2:I2))</f>
        <v>61</v>
      </c>
      <c r="K2" s="9">
        <v>0</v>
      </c>
      <c r="L2" s="10">
        <f t="shared" ref="L2:L37" si="1">J2+K2</f>
        <v>61</v>
      </c>
      <c r="M2" s="10">
        <f t="shared" ref="M2:M37" si="2">MIN(20,L2/70*20)</f>
        <v>17.428571428571431</v>
      </c>
      <c r="N2" t="s">
        <v>208</v>
      </c>
      <c r="O2" t="s">
        <v>214</v>
      </c>
      <c r="P2" s="16">
        <f>M2-4</f>
        <v>13.428571428571431</v>
      </c>
    </row>
    <row r="3" spans="1:16" x14ac:dyDescent="0.35">
      <c r="A3" s="13" t="s">
        <v>34</v>
      </c>
      <c r="B3" s="7">
        <v>5</v>
      </c>
      <c r="C3" s="7">
        <v>15</v>
      </c>
      <c r="D3" s="7">
        <v>18</v>
      </c>
      <c r="E3" s="7">
        <v>8</v>
      </c>
      <c r="F3" s="7">
        <v>3</v>
      </c>
      <c r="G3" s="11">
        <v>10</v>
      </c>
      <c r="H3" s="9">
        <v>-1</v>
      </c>
      <c r="I3" s="9">
        <v>3</v>
      </c>
      <c r="J3" s="10">
        <f t="shared" si="0"/>
        <v>61</v>
      </c>
      <c r="K3" s="14">
        <v>4</v>
      </c>
      <c r="L3" s="10">
        <f t="shared" si="1"/>
        <v>65</v>
      </c>
      <c r="M3" s="10">
        <f t="shared" si="2"/>
        <v>18.571428571428573</v>
      </c>
      <c r="N3" t="s">
        <v>208</v>
      </c>
      <c r="O3" t="s">
        <v>215</v>
      </c>
      <c r="P3" s="16">
        <f t="shared" ref="P3:P4" si="3">M3-4</f>
        <v>14.571428571428573</v>
      </c>
    </row>
    <row r="4" spans="1:16" ht="23.5" customHeight="1" x14ac:dyDescent="0.35">
      <c r="A4" s="8" t="s">
        <v>40</v>
      </c>
      <c r="B4" s="7">
        <v>5</v>
      </c>
      <c r="C4" s="7">
        <v>15</v>
      </c>
      <c r="D4" s="7">
        <v>18</v>
      </c>
      <c r="E4" s="7">
        <v>8</v>
      </c>
      <c r="F4" s="7">
        <v>3</v>
      </c>
      <c r="G4" s="11">
        <v>10</v>
      </c>
      <c r="H4" s="9">
        <v>-1</v>
      </c>
      <c r="I4" s="9">
        <v>3</v>
      </c>
      <c r="J4" s="10">
        <f t="shared" si="0"/>
        <v>61</v>
      </c>
      <c r="K4" s="9">
        <v>2</v>
      </c>
      <c r="L4" s="10">
        <f t="shared" si="1"/>
        <v>63</v>
      </c>
      <c r="M4" s="10">
        <f t="shared" si="2"/>
        <v>18</v>
      </c>
      <c r="N4" t="s">
        <v>208</v>
      </c>
      <c r="O4" t="s">
        <v>215</v>
      </c>
      <c r="P4" s="16">
        <f t="shared" si="3"/>
        <v>14</v>
      </c>
    </row>
    <row r="5" spans="1:16" ht="23.5" customHeight="1" x14ac:dyDescent="0.35">
      <c r="A5" s="6" t="s">
        <v>44</v>
      </c>
      <c r="B5" s="7">
        <v>5</v>
      </c>
      <c r="C5" s="7">
        <v>15</v>
      </c>
      <c r="D5" s="7">
        <v>18</v>
      </c>
      <c r="E5" s="7">
        <v>8</v>
      </c>
      <c r="F5" s="7">
        <v>3</v>
      </c>
      <c r="G5" s="11">
        <v>10</v>
      </c>
      <c r="H5" s="7">
        <v>-1</v>
      </c>
      <c r="I5" s="7">
        <v>2</v>
      </c>
      <c r="J5" s="5">
        <f t="shared" si="0"/>
        <v>60</v>
      </c>
      <c r="K5" s="7">
        <v>0</v>
      </c>
      <c r="L5" s="5">
        <f t="shared" si="1"/>
        <v>60</v>
      </c>
      <c r="M5" s="5">
        <f t="shared" si="2"/>
        <v>17.142857142857142</v>
      </c>
      <c r="N5" t="s">
        <v>210</v>
      </c>
      <c r="O5" t="s">
        <v>214</v>
      </c>
      <c r="P5" s="16">
        <f>M5-2</f>
        <v>15.142857142857142</v>
      </c>
    </row>
    <row r="6" spans="1:16" x14ac:dyDescent="0.35">
      <c r="A6" s="3" t="s">
        <v>50</v>
      </c>
      <c r="B6" s="4">
        <v>3</v>
      </c>
      <c r="C6" s="4">
        <v>17</v>
      </c>
      <c r="D6" s="4">
        <v>18</v>
      </c>
      <c r="E6" s="4">
        <v>8</v>
      </c>
      <c r="F6" s="4">
        <v>5</v>
      </c>
      <c r="G6" s="11">
        <v>8</v>
      </c>
      <c r="H6" s="4">
        <v>-1</v>
      </c>
      <c r="I6" s="4">
        <v>1</v>
      </c>
      <c r="J6" s="5">
        <f t="shared" si="0"/>
        <v>59</v>
      </c>
      <c r="K6" s="4">
        <v>1</v>
      </c>
      <c r="L6" s="5">
        <f t="shared" si="1"/>
        <v>60</v>
      </c>
      <c r="M6" s="5">
        <f t="shared" si="2"/>
        <v>17.142857142857142</v>
      </c>
      <c r="N6" t="s">
        <v>210</v>
      </c>
      <c r="O6" t="s">
        <v>214</v>
      </c>
      <c r="P6" s="16">
        <f t="shared" ref="P6:P8" si="4">M6-2</f>
        <v>15.142857142857142</v>
      </c>
    </row>
    <row r="7" spans="1:16" x14ac:dyDescent="0.35">
      <c r="A7" s="6" t="s">
        <v>56</v>
      </c>
      <c r="B7" s="7">
        <v>4.5</v>
      </c>
      <c r="C7" s="7">
        <v>17</v>
      </c>
      <c r="D7" s="7">
        <v>18</v>
      </c>
      <c r="E7" s="7">
        <v>8</v>
      </c>
      <c r="F7" s="7">
        <v>3</v>
      </c>
      <c r="G7" s="11">
        <v>5</v>
      </c>
      <c r="H7" s="7">
        <v>0</v>
      </c>
      <c r="I7" s="7">
        <v>3</v>
      </c>
      <c r="J7" s="5">
        <f t="shared" si="0"/>
        <v>58.5</v>
      </c>
      <c r="K7" s="7">
        <v>0</v>
      </c>
      <c r="L7" s="5">
        <f t="shared" si="1"/>
        <v>58.5</v>
      </c>
      <c r="M7" s="5">
        <f t="shared" si="2"/>
        <v>16.714285714285715</v>
      </c>
      <c r="N7" t="s">
        <v>210</v>
      </c>
      <c r="O7" t="s">
        <v>214</v>
      </c>
      <c r="P7" s="16">
        <f t="shared" si="4"/>
        <v>14.714285714285715</v>
      </c>
    </row>
    <row r="8" spans="1:16" x14ac:dyDescent="0.35">
      <c r="A8" s="3" t="s">
        <v>58</v>
      </c>
      <c r="B8" s="4">
        <v>2.5</v>
      </c>
      <c r="C8" s="4">
        <v>17</v>
      </c>
      <c r="D8" s="4">
        <v>17</v>
      </c>
      <c r="E8" s="4">
        <v>8</v>
      </c>
      <c r="F8" s="4">
        <v>3</v>
      </c>
      <c r="G8" s="11">
        <v>9</v>
      </c>
      <c r="H8" s="4">
        <v>0</v>
      </c>
      <c r="I8" s="4">
        <v>2</v>
      </c>
      <c r="J8" s="5">
        <f t="shared" si="0"/>
        <v>58.5</v>
      </c>
      <c r="K8" s="4">
        <v>0</v>
      </c>
      <c r="L8" s="5">
        <f t="shared" si="1"/>
        <v>58.5</v>
      </c>
      <c r="M8" s="5">
        <f t="shared" si="2"/>
        <v>16.714285714285715</v>
      </c>
      <c r="N8" t="s">
        <v>210</v>
      </c>
      <c r="O8" t="s">
        <v>214</v>
      </c>
      <c r="P8" s="16">
        <f t="shared" si="4"/>
        <v>14.714285714285715</v>
      </c>
    </row>
    <row r="9" spans="1:16" x14ac:dyDescent="0.35">
      <c r="A9" s="6" t="s">
        <v>61</v>
      </c>
      <c r="B9" s="7">
        <v>4.5</v>
      </c>
      <c r="C9" s="7">
        <v>17</v>
      </c>
      <c r="D9" s="7">
        <v>15</v>
      </c>
      <c r="E9" s="7">
        <v>8</v>
      </c>
      <c r="F9" s="7">
        <v>6</v>
      </c>
      <c r="G9" s="11">
        <v>5</v>
      </c>
      <c r="H9" s="7">
        <v>-1</v>
      </c>
      <c r="I9" s="7">
        <v>1</v>
      </c>
      <c r="J9" s="5">
        <f t="shared" si="0"/>
        <v>55.5</v>
      </c>
      <c r="K9" s="7">
        <v>0</v>
      </c>
      <c r="L9" s="5">
        <f t="shared" si="1"/>
        <v>55.5</v>
      </c>
      <c r="M9" s="5">
        <f t="shared" si="2"/>
        <v>15.857142857142856</v>
      </c>
      <c r="P9" s="16">
        <f>M9+2</f>
        <v>17.857142857142854</v>
      </c>
    </row>
    <row r="10" spans="1:16" ht="20" customHeight="1" x14ac:dyDescent="0.35">
      <c r="A10" s="3" t="s">
        <v>66</v>
      </c>
      <c r="B10" s="4">
        <v>3</v>
      </c>
      <c r="C10" s="4">
        <v>13</v>
      </c>
      <c r="D10" s="4">
        <v>17</v>
      </c>
      <c r="E10" s="4">
        <v>8</v>
      </c>
      <c r="F10" s="4">
        <v>5</v>
      </c>
      <c r="G10" s="11">
        <v>5</v>
      </c>
      <c r="H10" s="4">
        <v>0</v>
      </c>
      <c r="I10" s="4">
        <v>2</v>
      </c>
      <c r="J10" s="5">
        <f t="shared" si="0"/>
        <v>53</v>
      </c>
      <c r="K10" s="4">
        <v>0</v>
      </c>
      <c r="L10" s="5">
        <f t="shared" si="1"/>
        <v>53</v>
      </c>
      <c r="M10" s="5">
        <f t="shared" si="2"/>
        <v>15.142857142857142</v>
      </c>
      <c r="O10" s="2"/>
      <c r="P10" s="16">
        <f t="shared" ref="P10:P37" si="5">M10+2</f>
        <v>17.142857142857142</v>
      </c>
    </row>
    <row r="11" spans="1:16" x14ac:dyDescent="0.35">
      <c r="A11" s="6" t="s">
        <v>70</v>
      </c>
      <c r="B11" s="7">
        <v>2.5</v>
      </c>
      <c r="C11" s="7">
        <v>14</v>
      </c>
      <c r="D11" s="7">
        <v>15</v>
      </c>
      <c r="E11" s="7">
        <v>8</v>
      </c>
      <c r="F11" s="7">
        <v>4.5</v>
      </c>
      <c r="G11" s="11">
        <v>10</v>
      </c>
      <c r="H11" s="7">
        <v>-3</v>
      </c>
      <c r="I11" s="7">
        <v>1</v>
      </c>
      <c r="J11" s="5">
        <f t="shared" si="0"/>
        <v>52</v>
      </c>
      <c r="K11" s="7">
        <v>4</v>
      </c>
      <c r="L11" s="5">
        <f t="shared" si="1"/>
        <v>56</v>
      </c>
      <c r="M11" s="5">
        <f t="shared" si="2"/>
        <v>16</v>
      </c>
      <c r="P11" s="16">
        <f t="shared" si="5"/>
        <v>18</v>
      </c>
    </row>
    <row r="12" spans="1:16" x14ac:dyDescent="0.35">
      <c r="A12" s="3" t="s">
        <v>72</v>
      </c>
      <c r="B12" s="4">
        <v>4</v>
      </c>
      <c r="C12" s="4">
        <v>14</v>
      </c>
      <c r="D12" s="4">
        <v>16</v>
      </c>
      <c r="E12" s="4">
        <v>8</v>
      </c>
      <c r="F12" s="4">
        <v>4.5</v>
      </c>
      <c r="G12" s="11">
        <v>8</v>
      </c>
      <c r="H12" s="4">
        <v>-1</v>
      </c>
      <c r="I12" s="4">
        <v>1</v>
      </c>
      <c r="J12" s="5">
        <f t="shared" si="0"/>
        <v>54.5</v>
      </c>
      <c r="K12" s="4">
        <v>0</v>
      </c>
      <c r="L12" s="5">
        <f t="shared" si="1"/>
        <v>54.5</v>
      </c>
      <c r="M12" s="5">
        <f t="shared" si="2"/>
        <v>15.571428571428571</v>
      </c>
      <c r="P12" s="16">
        <f t="shared" si="5"/>
        <v>17.571428571428569</v>
      </c>
    </row>
    <row r="13" spans="1:16" x14ac:dyDescent="0.35">
      <c r="A13" s="6" t="s">
        <v>76</v>
      </c>
      <c r="B13" s="7">
        <v>4.5</v>
      </c>
      <c r="C13" s="7">
        <v>15</v>
      </c>
      <c r="D13" s="7">
        <v>18</v>
      </c>
      <c r="E13" s="7">
        <v>8</v>
      </c>
      <c r="F13" s="7">
        <v>2</v>
      </c>
      <c r="G13" s="11">
        <v>8</v>
      </c>
      <c r="H13" s="7">
        <v>-1</v>
      </c>
      <c r="I13" s="7">
        <v>0</v>
      </c>
      <c r="J13" s="5">
        <f t="shared" si="0"/>
        <v>54.5</v>
      </c>
      <c r="K13" s="7">
        <v>0</v>
      </c>
      <c r="L13" s="5">
        <f t="shared" si="1"/>
        <v>54.5</v>
      </c>
      <c r="M13" s="5">
        <f t="shared" si="2"/>
        <v>15.571428571428571</v>
      </c>
      <c r="P13" s="16">
        <f t="shared" si="5"/>
        <v>17.571428571428569</v>
      </c>
    </row>
    <row r="14" spans="1:16" x14ac:dyDescent="0.35">
      <c r="A14" s="3" t="s">
        <v>78</v>
      </c>
      <c r="B14" s="4">
        <v>5</v>
      </c>
      <c r="C14" s="4">
        <v>12</v>
      </c>
      <c r="D14" s="4">
        <v>17</v>
      </c>
      <c r="E14" s="4">
        <v>3</v>
      </c>
      <c r="F14" s="4">
        <v>3.5</v>
      </c>
      <c r="G14" s="11">
        <v>8</v>
      </c>
      <c r="H14" s="4">
        <v>-1</v>
      </c>
      <c r="I14" s="4">
        <v>1</v>
      </c>
      <c r="J14" s="5">
        <f t="shared" si="0"/>
        <v>48.5</v>
      </c>
      <c r="K14" s="4">
        <v>0</v>
      </c>
      <c r="L14" s="5">
        <f t="shared" si="1"/>
        <v>48.5</v>
      </c>
      <c r="M14" s="5">
        <f t="shared" si="2"/>
        <v>13.857142857142858</v>
      </c>
      <c r="P14" s="16">
        <f t="shared" si="5"/>
        <v>15.857142857142858</v>
      </c>
    </row>
    <row r="15" spans="1:16" x14ac:dyDescent="0.35">
      <c r="A15" s="6" t="s">
        <v>80</v>
      </c>
      <c r="B15" s="7">
        <v>3</v>
      </c>
      <c r="C15" s="7">
        <v>15</v>
      </c>
      <c r="D15" s="7">
        <v>17</v>
      </c>
      <c r="E15" s="7">
        <v>8</v>
      </c>
      <c r="F15" s="7">
        <v>2.5</v>
      </c>
      <c r="G15" s="11">
        <v>9</v>
      </c>
      <c r="H15" s="7">
        <v>0</v>
      </c>
      <c r="I15" s="7">
        <v>2</v>
      </c>
      <c r="J15" s="5">
        <f t="shared" si="0"/>
        <v>56.5</v>
      </c>
      <c r="K15" s="7">
        <v>0</v>
      </c>
      <c r="L15" s="5">
        <f t="shared" si="1"/>
        <v>56.5</v>
      </c>
      <c r="M15" s="5">
        <f t="shared" si="2"/>
        <v>16.142857142857142</v>
      </c>
      <c r="P15" s="16">
        <f t="shared" si="5"/>
        <v>18.142857142857142</v>
      </c>
    </row>
    <row r="16" spans="1:16" x14ac:dyDescent="0.35">
      <c r="A16" s="3" t="s">
        <v>84</v>
      </c>
      <c r="B16" s="4">
        <v>4.5</v>
      </c>
      <c r="C16" s="4">
        <v>14</v>
      </c>
      <c r="D16" s="4">
        <v>17</v>
      </c>
      <c r="E16" s="4">
        <v>5</v>
      </c>
      <c r="F16" s="4">
        <v>3</v>
      </c>
      <c r="G16" s="11">
        <v>8</v>
      </c>
      <c r="H16" s="4">
        <v>-1</v>
      </c>
      <c r="I16" s="4">
        <v>1</v>
      </c>
      <c r="J16" s="5">
        <f t="shared" si="0"/>
        <v>51.5</v>
      </c>
      <c r="K16" s="4">
        <v>0</v>
      </c>
      <c r="L16" s="5">
        <f t="shared" si="1"/>
        <v>51.5</v>
      </c>
      <c r="M16" s="5">
        <f t="shared" si="2"/>
        <v>14.714285714285715</v>
      </c>
      <c r="P16" s="16">
        <f t="shared" si="5"/>
        <v>16.714285714285715</v>
      </c>
    </row>
    <row r="17" spans="1:16" x14ac:dyDescent="0.35">
      <c r="A17" s="6" t="s">
        <v>86</v>
      </c>
      <c r="B17" s="7">
        <v>3</v>
      </c>
      <c r="C17" s="7">
        <v>13</v>
      </c>
      <c r="D17" s="7">
        <v>18</v>
      </c>
      <c r="E17" s="7">
        <v>7</v>
      </c>
      <c r="F17" s="7">
        <v>4.5</v>
      </c>
      <c r="G17" s="11">
        <v>8</v>
      </c>
      <c r="H17" s="7">
        <v>-2</v>
      </c>
      <c r="I17" s="7">
        <v>0</v>
      </c>
      <c r="J17" s="5">
        <f t="shared" si="0"/>
        <v>51.5</v>
      </c>
      <c r="K17" s="7">
        <v>0</v>
      </c>
      <c r="L17" s="5">
        <f t="shared" si="1"/>
        <v>51.5</v>
      </c>
      <c r="M17" s="5">
        <f t="shared" si="2"/>
        <v>14.714285714285715</v>
      </c>
      <c r="P17" s="16">
        <f t="shared" si="5"/>
        <v>16.714285714285715</v>
      </c>
    </row>
    <row r="18" spans="1:16" x14ac:dyDescent="0.35">
      <c r="A18" s="3" t="s">
        <v>88</v>
      </c>
      <c r="B18" s="4">
        <v>3</v>
      </c>
      <c r="C18" s="4">
        <v>14</v>
      </c>
      <c r="D18" s="4">
        <v>17</v>
      </c>
      <c r="E18" s="4">
        <v>6</v>
      </c>
      <c r="F18" s="4">
        <v>4</v>
      </c>
      <c r="G18" s="11">
        <v>9</v>
      </c>
      <c r="H18" s="4">
        <v>-1</v>
      </c>
      <c r="I18" s="4">
        <v>1</v>
      </c>
      <c r="J18" s="5">
        <f t="shared" si="0"/>
        <v>53</v>
      </c>
      <c r="K18" s="4">
        <v>0</v>
      </c>
      <c r="L18" s="5">
        <f t="shared" si="1"/>
        <v>53</v>
      </c>
      <c r="M18" s="5">
        <f t="shared" si="2"/>
        <v>15.142857142857142</v>
      </c>
      <c r="P18" s="16">
        <f t="shared" si="5"/>
        <v>17.142857142857142</v>
      </c>
    </row>
    <row r="19" spans="1:16" x14ac:dyDescent="0.35">
      <c r="A19" s="6" t="s">
        <v>90</v>
      </c>
      <c r="B19" s="7">
        <v>3</v>
      </c>
      <c r="C19" s="7">
        <v>13</v>
      </c>
      <c r="D19" s="7">
        <v>16</v>
      </c>
      <c r="E19" s="7">
        <v>6</v>
      </c>
      <c r="F19" s="7">
        <v>4.5</v>
      </c>
      <c r="G19" s="11">
        <v>8</v>
      </c>
      <c r="H19" s="7">
        <v>-2</v>
      </c>
      <c r="I19" s="7">
        <v>1</v>
      </c>
      <c r="J19" s="5">
        <f t="shared" si="0"/>
        <v>49.5</v>
      </c>
      <c r="K19" s="7">
        <v>0</v>
      </c>
      <c r="L19" s="5">
        <f t="shared" si="1"/>
        <v>49.5</v>
      </c>
      <c r="M19" s="5">
        <f t="shared" si="2"/>
        <v>14.142857142857144</v>
      </c>
      <c r="P19" s="16">
        <f t="shared" si="5"/>
        <v>16.142857142857146</v>
      </c>
    </row>
    <row r="20" spans="1:16" x14ac:dyDescent="0.35">
      <c r="A20" s="3" t="s">
        <v>93</v>
      </c>
      <c r="B20" s="4">
        <v>4</v>
      </c>
      <c r="C20" s="4">
        <v>12</v>
      </c>
      <c r="D20" s="4">
        <v>16</v>
      </c>
      <c r="E20" s="4">
        <v>6</v>
      </c>
      <c r="F20" s="4">
        <v>2.5</v>
      </c>
      <c r="G20" s="11">
        <v>8</v>
      </c>
      <c r="H20" s="4">
        <v>-1</v>
      </c>
      <c r="I20" s="4">
        <v>0</v>
      </c>
      <c r="J20" s="5">
        <f t="shared" si="0"/>
        <v>47.5</v>
      </c>
      <c r="K20" s="4">
        <v>0</v>
      </c>
      <c r="L20" s="5">
        <f t="shared" si="1"/>
        <v>47.5</v>
      </c>
      <c r="M20" s="5">
        <f t="shared" si="2"/>
        <v>13.571428571428573</v>
      </c>
      <c r="P20" s="16">
        <f t="shared" si="5"/>
        <v>15.571428571428573</v>
      </c>
    </row>
    <row r="21" spans="1:16" x14ac:dyDescent="0.35">
      <c r="A21" s="6" t="s">
        <v>97</v>
      </c>
      <c r="B21" s="7">
        <v>3.5</v>
      </c>
      <c r="C21" s="7">
        <v>15</v>
      </c>
      <c r="D21" s="7">
        <v>18.5</v>
      </c>
      <c r="E21" s="7">
        <v>4</v>
      </c>
      <c r="F21" s="7">
        <v>3.5</v>
      </c>
      <c r="G21" s="11">
        <v>8</v>
      </c>
      <c r="H21" s="7">
        <v>0</v>
      </c>
      <c r="I21" s="7">
        <v>0</v>
      </c>
      <c r="J21" s="5">
        <f t="shared" si="0"/>
        <v>52.5</v>
      </c>
      <c r="K21" s="7">
        <v>0</v>
      </c>
      <c r="L21" s="5">
        <f t="shared" si="1"/>
        <v>52.5</v>
      </c>
      <c r="M21" s="5">
        <f t="shared" si="2"/>
        <v>15</v>
      </c>
      <c r="P21" s="16">
        <f t="shared" si="5"/>
        <v>17</v>
      </c>
    </row>
    <row r="22" spans="1:16" x14ac:dyDescent="0.35">
      <c r="A22" s="3" t="s">
        <v>100</v>
      </c>
      <c r="B22" s="4">
        <v>1</v>
      </c>
      <c r="C22" s="4">
        <v>12.5</v>
      </c>
      <c r="D22" s="4">
        <v>16</v>
      </c>
      <c r="E22" s="4">
        <v>9</v>
      </c>
      <c r="F22" s="4">
        <v>2.5</v>
      </c>
      <c r="G22" s="11">
        <v>8</v>
      </c>
      <c r="H22" s="4">
        <v>-2</v>
      </c>
      <c r="I22" s="4">
        <v>0</v>
      </c>
      <c r="J22" s="5">
        <f t="shared" si="0"/>
        <v>47</v>
      </c>
      <c r="K22" s="4">
        <v>0</v>
      </c>
      <c r="L22" s="5">
        <f t="shared" si="1"/>
        <v>47</v>
      </c>
      <c r="M22" s="5">
        <f t="shared" si="2"/>
        <v>13.428571428571427</v>
      </c>
      <c r="P22" s="16">
        <f t="shared" si="5"/>
        <v>15.428571428571427</v>
      </c>
    </row>
    <row r="23" spans="1:16" x14ac:dyDescent="0.35">
      <c r="A23" s="6" t="s">
        <v>104</v>
      </c>
      <c r="B23" s="7">
        <v>4</v>
      </c>
      <c r="C23" s="7">
        <v>12</v>
      </c>
      <c r="D23" s="7">
        <v>14</v>
      </c>
      <c r="E23" s="7">
        <v>4</v>
      </c>
      <c r="F23" s="7">
        <v>3.5</v>
      </c>
      <c r="G23" s="11">
        <v>8</v>
      </c>
      <c r="H23" s="7">
        <v>-1</v>
      </c>
      <c r="I23" s="7">
        <v>1</v>
      </c>
      <c r="J23" s="5">
        <f t="shared" si="0"/>
        <v>45.5</v>
      </c>
      <c r="K23" s="7">
        <v>0</v>
      </c>
      <c r="L23" s="5">
        <f t="shared" si="1"/>
        <v>45.5</v>
      </c>
      <c r="M23" s="5">
        <f t="shared" si="2"/>
        <v>13</v>
      </c>
      <c r="P23" s="16">
        <f t="shared" si="5"/>
        <v>15</v>
      </c>
    </row>
    <row r="24" spans="1:16" x14ac:dyDescent="0.35">
      <c r="A24" s="3" t="s">
        <v>108</v>
      </c>
      <c r="B24" s="4">
        <v>3</v>
      </c>
      <c r="C24" s="4">
        <v>11</v>
      </c>
      <c r="D24" s="4">
        <v>16</v>
      </c>
      <c r="E24" s="4">
        <v>5</v>
      </c>
      <c r="F24" s="4">
        <v>3.5</v>
      </c>
      <c r="G24" s="11">
        <v>8</v>
      </c>
      <c r="H24" s="4">
        <v>-1</v>
      </c>
      <c r="I24" s="4">
        <v>1</v>
      </c>
      <c r="J24" s="5">
        <f t="shared" si="0"/>
        <v>46.5</v>
      </c>
      <c r="K24" s="4">
        <v>0</v>
      </c>
      <c r="L24" s="5">
        <f t="shared" si="1"/>
        <v>46.5</v>
      </c>
      <c r="M24" s="5">
        <f t="shared" si="2"/>
        <v>13.285714285714285</v>
      </c>
      <c r="P24" s="16">
        <f t="shared" si="5"/>
        <v>15.285714285714285</v>
      </c>
    </row>
    <row r="25" spans="1:16" x14ac:dyDescent="0.35">
      <c r="A25" s="6" t="s">
        <v>112</v>
      </c>
      <c r="B25" s="7">
        <v>2.5</v>
      </c>
      <c r="C25" s="7">
        <v>12</v>
      </c>
      <c r="D25" s="7">
        <v>16</v>
      </c>
      <c r="E25" s="7">
        <v>6</v>
      </c>
      <c r="F25" s="7">
        <v>3.5</v>
      </c>
      <c r="G25" s="11">
        <v>8</v>
      </c>
      <c r="H25" s="7">
        <v>-3</v>
      </c>
      <c r="I25" s="7">
        <v>0</v>
      </c>
      <c r="J25" s="5">
        <f t="shared" si="0"/>
        <v>45</v>
      </c>
      <c r="K25" s="7">
        <v>0</v>
      </c>
      <c r="L25" s="5">
        <f t="shared" si="1"/>
        <v>45</v>
      </c>
      <c r="M25" s="5">
        <f t="shared" si="2"/>
        <v>12.857142857142858</v>
      </c>
      <c r="P25" s="16">
        <f t="shared" si="5"/>
        <v>14.857142857142858</v>
      </c>
    </row>
    <row r="26" spans="1:16" x14ac:dyDescent="0.35">
      <c r="A26" s="3" t="s">
        <v>116</v>
      </c>
      <c r="B26" s="4">
        <v>3</v>
      </c>
      <c r="C26" s="4">
        <v>9</v>
      </c>
      <c r="D26" s="4">
        <v>12</v>
      </c>
      <c r="E26" s="4">
        <v>5.5</v>
      </c>
      <c r="F26" s="4">
        <v>4.5</v>
      </c>
      <c r="G26" s="11">
        <v>8</v>
      </c>
      <c r="H26" s="4">
        <v>-1</v>
      </c>
      <c r="I26" s="4">
        <v>1</v>
      </c>
      <c r="J26" s="5">
        <f t="shared" si="0"/>
        <v>42</v>
      </c>
      <c r="K26" s="4">
        <v>0</v>
      </c>
      <c r="L26" s="5">
        <f t="shared" si="1"/>
        <v>42</v>
      </c>
      <c r="M26" s="5">
        <f t="shared" si="2"/>
        <v>12</v>
      </c>
      <c r="P26" s="16">
        <f t="shared" si="5"/>
        <v>14</v>
      </c>
    </row>
    <row r="27" spans="1:16" x14ac:dyDescent="0.35">
      <c r="A27" s="6" t="s">
        <v>121</v>
      </c>
      <c r="B27" s="7">
        <v>2</v>
      </c>
      <c r="C27" s="7">
        <v>6.5</v>
      </c>
      <c r="D27" s="7">
        <v>12</v>
      </c>
      <c r="E27" s="7">
        <v>2.5</v>
      </c>
      <c r="F27" s="7">
        <v>4.5</v>
      </c>
      <c r="G27" s="11">
        <v>8</v>
      </c>
      <c r="H27" s="7">
        <v>-1</v>
      </c>
      <c r="I27" s="7">
        <v>0</v>
      </c>
      <c r="J27" s="5">
        <f t="shared" si="0"/>
        <v>34.5</v>
      </c>
      <c r="K27" s="7">
        <v>0</v>
      </c>
      <c r="L27" s="5">
        <f t="shared" si="1"/>
        <v>34.5</v>
      </c>
      <c r="M27" s="5">
        <f t="shared" si="2"/>
        <v>9.8571428571428577</v>
      </c>
      <c r="P27" s="16">
        <f t="shared" si="5"/>
        <v>11.857142857142858</v>
      </c>
    </row>
    <row r="28" spans="1:16" x14ac:dyDescent="0.35">
      <c r="A28" s="3" t="s">
        <v>122</v>
      </c>
      <c r="B28" s="4">
        <v>3.5</v>
      </c>
      <c r="C28" s="4">
        <v>8</v>
      </c>
      <c r="D28" s="4">
        <v>15</v>
      </c>
      <c r="E28" s="4">
        <v>4.5</v>
      </c>
      <c r="F28" s="4">
        <v>2.5</v>
      </c>
      <c r="G28" s="11">
        <v>6</v>
      </c>
      <c r="H28" s="4">
        <v>-1</v>
      </c>
      <c r="I28" s="4">
        <v>0</v>
      </c>
      <c r="J28" s="5">
        <f t="shared" si="0"/>
        <v>38.5</v>
      </c>
      <c r="K28" s="4">
        <v>0</v>
      </c>
      <c r="L28" s="5">
        <f t="shared" si="1"/>
        <v>38.5</v>
      </c>
      <c r="M28" s="5">
        <f t="shared" si="2"/>
        <v>11</v>
      </c>
      <c r="P28" s="16">
        <f t="shared" si="5"/>
        <v>13</v>
      </c>
    </row>
    <row r="29" spans="1:16" x14ac:dyDescent="0.35">
      <c r="A29" s="6" t="s">
        <v>125</v>
      </c>
      <c r="B29" s="7">
        <v>2.5</v>
      </c>
      <c r="C29" s="7">
        <v>9</v>
      </c>
      <c r="D29" s="7">
        <v>12</v>
      </c>
      <c r="E29" s="7">
        <v>4.5</v>
      </c>
      <c r="F29" s="7">
        <v>2.5</v>
      </c>
      <c r="G29" s="11">
        <v>8</v>
      </c>
      <c r="H29" s="7">
        <v>0</v>
      </c>
      <c r="I29" s="7">
        <v>0</v>
      </c>
      <c r="J29" s="5">
        <f t="shared" si="0"/>
        <v>38.5</v>
      </c>
      <c r="K29" s="7">
        <v>0</v>
      </c>
      <c r="L29" s="5">
        <f t="shared" si="1"/>
        <v>38.5</v>
      </c>
      <c r="M29" s="5">
        <f t="shared" si="2"/>
        <v>11</v>
      </c>
      <c r="P29" s="16">
        <f t="shared" si="5"/>
        <v>13</v>
      </c>
    </row>
    <row r="30" spans="1:16" x14ac:dyDescent="0.35">
      <c r="A30" s="3" t="s">
        <v>126</v>
      </c>
      <c r="B30" s="4">
        <v>2.5</v>
      </c>
      <c r="C30" s="4">
        <v>8</v>
      </c>
      <c r="D30" s="4">
        <v>14</v>
      </c>
      <c r="E30" s="4">
        <v>6.5</v>
      </c>
      <c r="F30" s="4">
        <v>2</v>
      </c>
      <c r="G30" s="11">
        <v>7</v>
      </c>
      <c r="H30" s="4">
        <v>-2</v>
      </c>
      <c r="I30" s="4">
        <v>0</v>
      </c>
      <c r="J30" s="5">
        <f t="shared" si="0"/>
        <v>38</v>
      </c>
      <c r="K30" s="4">
        <v>0</v>
      </c>
      <c r="L30" s="5">
        <f t="shared" si="1"/>
        <v>38</v>
      </c>
      <c r="M30" s="5">
        <f t="shared" si="2"/>
        <v>10.857142857142856</v>
      </c>
      <c r="P30" s="16">
        <f t="shared" si="5"/>
        <v>12.857142857142856</v>
      </c>
    </row>
    <row r="31" spans="1:16" x14ac:dyDescent="0.35">
      <c r="A31" s="6" t="s">
        <v>128</v>
      </c>
      <c r="B31" s="7">
        <v>1.5</v>
      </c>
      <c r="C31" s="7">
        <v>12</v>
      </c>
      <c r="D31" s="7">
        <v>12</v>
      </c>
      <c r="E31" s="7">
        <v>5.5</v>
      </c>
      <c r="F31" s="7">
        <v>2.5</v>
      </c>
      <c r="G31" s="11">
        <v>8</v>
      </c>
      <c r="H31" s="7">
        <v>-1</v>
      </c>
      <c r="I31" s="7">
        <v>0</v>
      </c>
      <c r="J31" s="5">
        <f t="shared" si="0"/>
        <v>40.5</v>
      </c>
      <c r="K31" s="7">
        <v>0</v>
      </c>
      <c r="L31" s="5">
        <f t="shared" si="1"/>
        <v>40.5</v>
      </c>
      <c r="M31" s="5">
        <f t="shared" si="2"/>
        <v>11.571428571428573</v>
      </c>
      <c r="P31" s="16">
        <f t="shared" si="5"/>
        <v>13.571428571428573</v>
      </c>
    </row>
    <row r="32" spans="1:16" x14ac:dyDescent="0.35">
      <c r="A32" s="3" t="s">
        <v>131</v>
      </c>
      <c r="B32" s="4">
        <v>2.5</v>
      </c>
      <c r="C32" s="4">
        <v>9</v>
      </c>
      <c r="D32" s="4">
        <v>9.5</v>
      </c>
      <c r="E32" s="4">
        <v>5</v>
      </c>
      <c r="F32" s="4">
        <v>4.5</v>
      </c>
      <c r="G32" s="11">
        <v>7</v>
      </c>
      <c r="H32" s="4">
        <v>-2</v>
      </c>
      <c r="I32" s="4">
        <v>0</v>
      </c>
      <c r="J32" s="5">
        <f t="shared" si="0"/>
        <v>35.5</v>
      </c>
      <c r="K32" s="4">
        <v>0</v>
      </c>
      <c r="L32" s="5">
        <f t="shared" si="1"/>
        <v>35.5</v>
      </c>
      <c r="M32" s="5">
        <f t="shared" si="2"/>
        <v>10.142857142857142</v>
      </c>
      <c r="P32" s="16">
        <f t="shared" si="5"/>
        <v>12.142857142857142</v>
      </c>
    </row>
    <row r="33" spans="1:16" x14ac:dyDescent="0.35">
      <c r="A33" s="6" t="s">
        <v>133</v>
      </c>
      <c r="B33" s="7">
        <v>2.5</v>
      </c>
      <c r="C33" s="7">
        <v>8</v>
      </c>
      <c r="D33" s="7">
        <v>10</v>
      </c>
      <c r="E33" s="7">
        <v>3.5</v>
      </c>
      <c r="F33" s="7">
        <v>2.5</v>
      </c>
      <c r="G33" s="11">
        <v>9</v>
      </c>
      <c r="H33" s="7">
        <v>-1</v>
      </c>
      <c r="I33" s="7">
        <v>0</v>
      </c>
      <c r="J33" s="5">
        <f t="shared" si="0"/>
        <v>34.5</v>
      </c>
      <c r="K33" s="7">
        <v>0</v>
      </c>
      <c r="L33" s="5">
        <f t="shared" si="1"/>
        <v>34.5</v>
      </c>
      <c r="M33" s="5">
        <f t="shared" si="2"/>
        <v>9.8571428571428577</v>
      </c>
      <c r="P33" s="16">
        <f t="shared" si="5"/>
        <v>11.857142857142858</v>
      </c>
    </row>
    <row r="34" spans="1:16" x14ac:dyDescent="0.35">
      <c r="A34" s="3" t="s">
        <v>135</v>
      </c>
      <c r="B34" s="4">
        <v>2.5</v>
      </c>
      <c r="C34" s="4">
        <v>4</v>
      </c>
      <c r="D34" s="4">
        <v>14</v>
      </c>
      <c r="E34" s="4">
        <v>3.5</v>
      </c>
      <c r="F34" s="4">
        <v>4.5</v>
      </c>
      <c r="G34" s="11">
        <v>8</v>
      </c>
      <c r="H34" s="4">
        <v>-3</v>
      </c>
      <c r="I34" s="4">
        <v>0</v>
      </c>
      <c r="J34" s="5">
        <f t="shared" si="0"/>
        <v>33.5</v>
      </c>
      <c r="K34" s="4">
        <v>0</v>
      </c>
      <c r="L34" s="5">
        <f t="shared" si="1"/>
        <v>33.5</v>
      </c>
      <c r="M34" s="5">
        <f t="shared" si="2"/>
        <v>9.5714285714285712</v>
      </c>
      <c r="P34" s="16">
        <f t="shared" si="5"/>
        <v>11.571428571428571</v>
      </c>
    </row>
    <row r="35" spans="1:16" x14ac:dyDescent="0.35">
      <c r="A35" s="6" t="s">
        <v>139</v>
      </c>
      <c r="B35" s="7">
        <v>2.5</v>
      </c>
      <c r="C35" s="7">
        <v>9</v>
      </c>
      <c r="D35" s="7">
        <v>9</v>
      </c>
      <c r="E35" s="7">
        <v>2.5</v>
      </c>
      <c r="F35" s="7">
        <v>4.5</v>
      </c>
      <c r="G35" s="11">
        <v>7.5</v>
      </c>
      <c r="H35" s="7">
        <v>-1</v>
      </c>
      <c r="I35" s="7">
        <v>0</v>
      </c>
      <c r="J35" s="5">
        <f t="shared" si="0"/>
        <v>34</v>
      </c>
      <c r="K35" s="7">
        <v>0</v>
      </c>
      <c r="L35" s="5">
        <f t="shared" si="1"/>
        <v>34</v>
      </c>
      <c r="M35" s="5">
        <f t="shared" si="2"/>
        <v>9.7142857142857135</v>
      </c>
      <c r="P35" s="16">
        <f t="shared" si="5"/>
        <v>11.714285714285714</v>
      </c>
    </row>
    <row r="36" spans="1:16" x14ac:dyDescent="0.35">
      <c r="A36" s="3" t="s">
        <v>143</v>
      </c>
      <c r="B36" s="4">
        <v>3</v>
      </c>
      <c r="C36" s="4">
        <v>7</v>
      </c>
      <c r="D36" s="4">
        <v>7</v>
      </c>
      <c r="E36" s="4">
        <v>2.5</v>
      </c>
      <c r="F36" s="4">
        <v>4.5</v>
      </c>
      <c r="G36" s="11">
        <v>7</v>
      </c>
      <c r="H36" s="4">
        <v>-3</v>
      </c>
      <c r="I36" s="4">
        <v>1</v>
      </c>
      <c r="J36" s="5">
        <f t="shared" si="0"/>
        <v>29</v>
      </c>
      <c r="K36" s="4">
        <v>0</v>
      </c>
      <c r="L36" s="5">
        <f t="shared" si="1"/>
        <v>29</v>
      </c>
      <c r="M36" s="5">
        <f t="shared" si="2"/>
        <v>8.2857142857142865</v>
      </c>
      <c r="P36" s="16">
        <f t="shared" si="5"/>
        <v>10.285714285714286</v>
      </c>
    </row>
    <row r="37" spans="1:16" x14ac:dyDescent="0.35">
      <c r="A37" s="6" t="s">
        <v>145</v>
      </c>
      <c r="B37" s="7">
        <v>2.5</v>
      </c>
      <c r="C37" s="7">
        <v>7</v>
      </c>
      <c r="D37" s="7">
        <v>5</v>
      </c>
      <c r="E37" s="7">
        <v>3.5</v>
      </c>
      <c r="F37" s="7">
        <v>3.5</v>
      </c>
      <c r="G37" s="11">
        <v>6</v>
      </c>
      <c r="H37" s="7">
        <v>-1</v>
      </c>
      <c r="I37" s="7">
        <v>0</v>
      </c>
      <c r="J37" s="5">
        <f t="shared" si="0"/>
        <v>26.5</v>
      </c>
      <c r="K37" s="7">
        <v>0</v>
      </c>
      <c r="L37" s="5">
        <f t="shared" si="1"/>
        <v>26.5</v>
      </c>
      <c r="M37" s="5">
        <f t="shared" si="2"/>
        <v>7.5714285714285712</v>
      </c>
      <c r="P37" s="16">
        <f t="shared" si="5"/>
        <v>9.5714285714285712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Barème et méthode</vt:lpstr>
      <vt:lpstr>Diagnostic technique</vt:lpstr>
      <vt:lpstr>Correction finale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Hema, Aboubacar (IFPRI-Senegal)</dc:creator>
  <cp:lastModifiedBy>Hema, Aboubacar (IFPRI-Senegal)</cp:lastModifiedBy>
  <dcterms:created xsi:type="dcterms:W3CDTF">2026-08-04T11:07:43Z</dcterms:created>
  <dcterms:modified xsi:type="dcterms:W3CDTF">2026-08-13T20:14:05Z</dcterms:modified>
</cp:coreProperties>
</file>